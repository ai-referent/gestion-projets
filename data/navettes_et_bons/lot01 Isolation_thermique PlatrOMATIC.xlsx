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<sst xmlns="http://schemas.openxmlformats.org/spreadsheetml/2006/main" count="79" uniqueCount="69">
  <si>
    <t xml:space="preserve">Entreprise</t>
  </si>
  <si>
    <t xml:space="preserve">lot</t>
  </si>
  <si>
    <t xml:space="preserve">sit n°</t>
  </si>
  <si>
    <t xml:space="preserve">fiche navette n°</t>
  </si>
  <si>
    <t xml:space="preserve">date de validation</t>
  </si>
  <si>
    <t xml:space="preserve">ss-trait 1</t>
  </si>
  <si>
    <t xml:space="preserve">ss-trait 2</t>
  </si>
  <si>
    <t xml:space="preserve">Platr’O’Matic SARL</t>
  </si>
  <si>
    <t xml:space="preserve">lot1 : Isolation thermique</t>
  </si>
  <si>
    <t xml:space="preserve">nom</t>
  </si>
  <si>
    <t xml:space="preserve">42 rue du Crepissage - 75011 PARIS</t>
  </si>
  <si>
    <t xml:space="preserve">montant cumulé</t>
  </si>
  <si>
    <t xml:space="preserve">marché</t>
  </si>
  <si>
    <r>
      <rPr>
        <b val="true"/>
        <sz val="16"/>
        <rFont val="Trebuchet MS"/>
        <family val="2"/>
        <charset val="1"/>
      </rPr>
      <t xml:space="preserve">RenovBat</t>
    </r>
    <r>
      <rPr>
        <sz val="9"/>
        <rFont val="Trebuchet MS"/>
        <family val="2"/>
        <charset val="1"/>
      </rPr>
      <t xml:space="preserve"> Bureau d’Etude Bâtiment et VRD</t>
    </r>
  </si>
  <si>
    <t xml:space="preserve">Opération :</t>
  </si>
  <si>
    <t xml:space="preserve">Renovation_2026
100 avenue Michelet 69001 LYON</t>
  </si>
  <si>
    <t xml:space="preserve">MOA : IMMOSOCIAL_69</t>
  </si>
  <si>
    <t xml:space="preserve">Référence RenovBat : </t>
  </si>
  <si>
    <t xml:space="preserve">26-005</t>
  </si>
  <si>
    <t xml:space="preserve">FICHE NAVETTE n°</t>
  </si>
  <si>
    <t xml:space="preserve">ENTREPRISE</t>
  </si>
  <si>
    <t xml:space="preserve">LOT</t>
  </si>
  <si>
    <t xml:space="preserve">SITUATION</t>
  </si>
  <si>
    <t xml:space="preserve">OPERATION</t>
  </si>
  <si>
    <t xml:space="preserve">DATE</t>
  </si>
  <si>
    <t xml:space="preserve">VISA</t>
  </si>
  <si>
    <t xml:space="preserve">Etablissement de la situation par l'entreprise</t>
  </si>
  <si>
    <t xml:space="preserve">Dépôt sur Chorus</t>
  </si>
  <si>
    <t xml:space="preserve">Tampon et signature RenovBat </t>
  </si>
  <si>
    <t xml:space="preserve">Demande de rectification de la facture</t>
  </si>
  <si>
    <t xml:space="preserve">Réception par SATM de la facture modifiée </t>
  </si>
  <si>
    <t xml:space="preserve">Dépôt sur Chorus par la MOE</t>
  </si>
  <si>
    <t xml:space="preserve">Réception par le Maître d'ouvrage</t>
  </si>
  <si>
    <r>
      <rPr>
        <b val="true"/>
        <sz val="18"/>
        <rFont val="Trebuchet MS"/>
        <family val="2"/>
        <charset val="1"/>
      </rPr>
      <t xml:space="preserve">RenovBat </t>
    </r>
    <r>
      <rPr>
        <sz val="12"/>
        <rFont val="Trebuchet MS"/>
        <family val="2"/>
        <charset val="1"/>
      </rPr>
      <t xml:space="preserve">Bureau d’Etude Bâtiment et VRD</t>
    </r>
  </si>
  <si>
    <t xml:space="preserve">Maître d'ouvrage :</t>
  </si>
  <si>
    <t xml:space="preserve">IMMOSOCIAL_69 – 8 avenue des Batisseurs, 69000 Lyon</t>
  </si>
  <si>
    <t xml:space="preserve">Référence BE : </t>
  </si>
  <si>
    <t xml:space="preserve">Entreprise :</t>
  </si>
  <si>
    <t xml:space="preserve">Platr’O’Matic SARL  42  rue du Crepissage 75011 PARIS</t>
  </si>
  <si>
    <t xml:space="preserve">Lot n° :</t>
  </si>
  <si>
    <t xml:space="preserve">Lot 1 – Isolation thermique</t>
  </si>
  <si>
    <t xml:space="preserve">Facture n° :</t>
  </si>
  <si>
    <t xml:space="preserve">FAC-2026-001</t>
  </si>
  <si>
    <t xml:space="preserve">Date facture : </t>
  </si>
  <si>
    <t xml:space="preserve">Montant du marché de base HT</t>
  </si>
  <si>
    <t xml:space="preserve">Avenant n°1</t>
  </si>
  <si>
    <t xml:space="preserve">Avenant n°2</t>
  </si>
  <si>
    <t xml:space="preserve">Total marché avec avenant</t>
  </si>
  <si>
    <t xml:space="preserve">TVA</t>
  </si>
  <si>
    <t xml:space="preserve">TOTAL MARCHE € TTC</t>
  </si>
  <si>
    <t xml:space="preserve"> </t>
  </si>
  <si>
    <t xml:space="preserve">caution nécessaire</t>
  </si>
  <si>
    <t xml:space="preserve">Caution bancaire € HT</t>
  </si>
  <si>
    <t xml:space="preserve">SITUATION ACCEPTEE</t>
  </si>
  <si>
    <t xml:space="preserve">Nouveau cumul</t>
  </si>
  <si>
    <t xml:space="preserve">Ancien cumul</t>
  </si>
  <si>
    <t xml:space="preserve">Situation en euros</t>
  </si>
  <si>
    <t xml:space="preserve">avancement</t>
  </si>
  <si>
    <t xml:space="preserve">Marché principal + avenant</t>
  </si>
  <si>
    <t xml:space="preserve">Revalorisation de prix</t>
  </si>
  <si>
    <t xml:space="preserve">Total situation HT</t>
  </si>
  <si>
    <t xml:space="preserve">Total situation TTC à régler</t>
  </si>
  <si>
    <t xml:space="preserve">Pas de retenue de garantie</t>
  </si>
  <si>
    <t xml:space="preserve">Restitution de la retenue de garantie</t>
  </si>
  <si>
    <t xml:space="preserve">Certifie que IMMOSOCIAL_69 peut payer :</t>
  </si>
  <si>
    <t xml:space="preserve">Mois</t>
  </si>
  <si>
    <t xml:space="preserve">Visé par J. PONS le </t>
  </si>
  <si>
    <t xml:space="preserve">Maître d'œuvre</t>
  </si>
  <si>
    <t xml:space="preserve">Bureau d'Etudes RenovBat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</si>
</sst>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_-* #,##0.00&quot; €&quot;_-;\-* #,##0.00&quot; €&quot;_-;_-* \-??&quot; €&quot;_-;_-@_-"/>
    <numFmt numFmtId="167" formatCode="#,##0"/>
    <numFmt numFmtId="168" formatCode="dd/mm/yyyy"/>
    <numFmt numFmtId="169" formatCode="_-* #,##0.00\ _€_-;\-* #,##0.00\ _€_-;_-* \-??\ _€_-;_-@_-"/>
    <numFmt numFmtId="170" formatCode="@"/>
    <numFmt numFmtId="171" formatCode="0\ %"/>
    <numFmt numFmtId="172" formatCode="0.0%"/>
    <numFmt numFmtId="173" formatCode="_-* #,##0.00\ [$€-40C]_-;\-* #,##0.00\ [$€-40C]_-;_-* \-??\ [$€-40C]_-;_-@_-"/>
    <numFmt numFmtId="174" formatCode="#,##0.00\ [$€-40C];[RED]\-#,##0.00\ [$€-40C]"/>
  </numFmts>
  <fonts count="4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2"/>
      <color theme="1"/>
      <name val="Trebuchet MS"/>
      <family val="2"/>
      <charset val="1"/>
    </font>
    <font>
      <b val="true"/>
      <sz val="12"/>
      <color theme="1"/>
      <name val="Trebuchet MS"/>
      <family val="2"/>
      <charset val="1"/>
    </font>
    <font>
      <b val="true"/>
      <sz val="14"/>
      <color theme="1"/>
      <name val="Trebuchet MS"/>
      <family val="2"/>
      <charset val="1"/>
    </font>
    <font>
      <b val="true"/>
      <sz val="14"/>
      <name val="Trebuchet MS"/>
      <family val="2"/>
      <charset val="1"/>
    </font>
    <font>
      <sz val="12"/>
      <name val="Trebuchet MS"/>
      <family val="2"/>
      <charset val="1"/>
    </font>
    <font>
      <sz val="9"/>
      <name val="Trebuchet MS"/>
      <family val="2"/>
      <charset val="1"/>
    </font>
    <font>
      <i val="true"/>
      <sz val="9"/>
      <name val="Trebuchet MS"/>
      <family val="2"/>
      <charset val="1"/>
    </font>
    <font>
      <b val="true"/>
      <u val="single"/>
      <sz val="9"/>
      <name val="Trebuchet MS"/>
      <family val="2"/>
      <charset val="1"/>
    </font>
    <font>
      <b val="true"/>
      <sz val="16"/>
      <name val="Trebuchet MS"/>
      <family val="2"/>
      <charset val="1"/>
    </font>
    <font>
      <sz val="10"/>
      <name val="Trebuchet MS"/>
      <family val="2"/>
      <charset val="1"/>
    </font>
    <font>
      <b val="true"/>
      <i val="true"/>
      <u val="single"/>
      <sz val="9"/>
      <name val="Trebuchet MS"/>
      <family val="2"/>
      <charset val="1"/>
    </font>
    <font>
      <b val="true"/>
      <sz val="12"/>
      <name val="Trebuchet MS"/>
      <family val="2"/>
      <charset val="1"/>
    </font>
    <font>
      <sz val="11"/>
      <name val="Trebuchet MS"/>
      <family val="2"/>
      <charset val="1"/>
    </font>
    <font>
      <sz val="14"/>
      <color rgb="FF000000"/>
      <name val="Calibri"/>
      <family val="2"/>
      <charset val="1"/>
    </font>
    <font>
      <b val="true"/>
      <sz val="9"/>
      <name val="Trebuchet MS"/>
      <family val="2"/>
      <charset val="1"/>
    </font>
    <font>
      <b val="true"/>
      <sz val="11"/>
      <name val="Trebuchet MS"/>
      <family val="2"/>
      <charset val="1"/>
    </font>
    <font>
      <sz val="18"/>
      <name val="Trebuchet MS"/>
      <family val="2"/>
      <charset val="1"/>
    </font>
    <font>
      <sz val="20"/>
      <color rgb="FFFF0000"/>
      <name val="Trebuchet MS"/>
      <family val="2"/>
      <charset val="1"/>
    </font>
    <font>
      <b val="true"/>
      <sz val="10"/>
      <name val="Trebuchet MS"/>
      <family val="2"/>
      <charset val="1"/>
    </font>
    <font>
      <sz val="16"/>
      <name val="Trebuchet MS"/>
      <family val="2"/>
      <charset val="1"/>
    </font>
    <font>
      <sz val="14"/>
      <name val="Trebuchet MS"/>
      <family val="2"/>
      <charset val="1"/>
    </font>
    <font>
      <b val="true"/>
      <i val="true"/>
      <sz val="14"/>
      <name val="Trebuchet MS"/>
      <family val="2"/>
      <charset val="1"/>
    </font>
    <font>
      <b val="true"/>
      <sz val="18"/>
      <name val="Trebuchet MS"/>
      <family val="2"/>
      <charset val="1"/>
    </font>
    <font>
      <b val="true"/>
      <i val="true"/>
      <sz val="12"/>
      <name val="Trebuchet MS"/>
      <family val="2"/>
      <charset val="1"/>
    </font>
    <font>
      <i val="true"/>
      <sz val="12"/>
      <name val="Trebuchet MS"/>
      <family val="2"/>
      <charset val="1"/>
    </font>
    <font>
      <sz val="11"/>
      <color theme="1"/>
      <name val="Trebuchet MS"/>
      <family val="2"/>
      <charset val="1"/>
    </font>
    <font>
      <b val="true"/>
      <sz val="12"/>
      <color rgb="FFFF0000"/>
      <name val="Trebuchet MS"/>
      <family val="2"/>
      <charset val="1"/>
    </font>
    <font>
      <b val="true"/>
      <sz val="14"/>
      <color theme="0"/>
      <name val="Trebuchet MS"/>
      <family val="2"/>
      <charset val="1"/>
    </font>
    <font>
      <b val="true"/>
      <sz val="12"/>
      <color theme="0"/>
      <name val="Trebuchet MS"/>
      <family val="2"/>
      <charset val="1"/>
    </font>
    <font>
      <sz val="10.5"/>
      <color theme="1"/>
      <name val="Trebuchet MS"/>
      <family val="2"/>
      <charset val="1"/>
    </font>
    <font>
      <sz val="12"/>
      <color theme="0"/>
      <name val="Trebuchet MS"/>
      <family val="2"/>
      <charset val="1"/>
    </font>
    <font>
      <i val="true"/>
      <sz val="11"/>
      <color theme="1"/>
      <name val="Trebuchet MS"/>
      <family val="2"/>
      <charset val="1"/>
    </font>
    <font>
      <b val="true"/>
      <sz val="11"/>
      <color theme="1"/>
      <name val="Trebuchet MS"/>
      <family val="2"/>
      <charset val="1"/>
    </font>
    <font>
      <i val="true"/>
      <sz val="12"/>
      <color theme="1"/>
      <name val="Trebuchet MS"/>
      <family val="2"/>
      <charset val="1"/>
    </font>
    <font>
      <sz val="12"/>
      <color rgb="FFFF0000"/>
      <name val="Trebuchet MS"/>
      <family val="2"/>
      <charset val="1"/>
    </font>
    <font>
      <b val="true"/>
      <u val="single"/>
      <sz val="12"/>
      <color theme="1"/>
      <name val="Trebuchet MS"/>
      <family val="2"/>
      <charset val="1"/>
    </font>
    <font>
      <b val="true"/>
      <i val="true"/>
      <u val="single"/>
      <sz val="11"/>
      <color theme="1"/>
      <name val="Calibri"/>
      <family val="0"/>
    </font>
    <font>
      <sz val="12"/>
      <color theme="1"/>
      <name val="Calibri"/>
      <family val="0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25"/>
        <bgColor rgb="FFCCCCFF"/>
      </patternFill>
    </fill>
    <fill>
      <patternFill patternType="solid">
        <fgColor rgb="FF259600"/>
        <bgColor rgb="FF339966"/>
      </patternFill>
    </fill>
    <fill>
      <patternFill patternType="solid">
        <fgColor theme="1" tint="0.4999"/>
        <bgColor rgb="FF969696"/>
      </patternFill>
    </fill>
    <fill>
      <patternFill patternType="solid">
        <fgColor theme="0" tint="-0.05"/>
        <bgColor rgb="FFFFFFF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>
        <color rgb="FF259600"/>
      </bottom>
      <diagonal/>
    </border>
    <border diagonalUp="false" diagonalDown="false">
      <left style="thin">
        <color rgb="FF259600"/>
      </left>
      <right style="thin">
        <color rgb="FF259600"/>
      </right>
      <top style="thin">
        <color rgb="FF259600"/>
      </top>
      <bottom style="thin">
        <color rgb="FF259600"/>
      </bottom>
      <diagonal/>
    </border>
    <border diagonalUp="false" diagonalDown="false">
      <left style="thin"/>
      <right/>
      <top style="thin">
        <color rgb="FF259600"/>
      </top>
      <bottom style="thin"/>
      <diagonal/>
    </border>
    <border diagonalUp="false" diagonalDown="false">
      <left/>
      <right style="thin"/>
      <top style="thin">
        <color rgb="FF259600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theme="1" tint="0.4999"/>
      </left>
      <right/>
      <top style="thin">
        <color theme="1" tint="0.4999"/>
      </top>
      <bottom/>
      <diagonal/>
    </border>
    <border diagonalUp="false" diagonalDown="false">
      <left/>
      <right/>
      <top style="thin">
        <color theme="1" tint="0.4999"/>
      </top>
      <bottom/>
      <diagonal/>
    </border>
    <border diagonalUp="false" diagonalDown="false">
      <left/>
      <right style="thin">
        <color theme="1" tint="0.4999"/>
      </right>
      <top style="thin">
        <color theme="1" tint="0.4999"/>
      </top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0" borderId="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" fillId="0" borderId="1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1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11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9" fillId="0" borderId="1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3" fillId="2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0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5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bottom" textRotation="0" wrapText="true" indent="8" shrinkToFit="false"/>
      <protection locked="true" hidden="false"/>
    </xf>
    <xf numFmtId="165" fontId="17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7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8" fillId="0" borderId="0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5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8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20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1" xfId="2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3" borderId="1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13" fillId="0" borderId="2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4" fillId="0" borderId="3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25" fillId="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4" fillId="0" borderId="4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5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4" fillId="0" borderId="5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5" xfId="21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6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4" fillId="0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7" fillId="0" borderId="5" xfId="21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8" fontId="9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10" fillId="0" borderId="0" xfId="17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0" borderId="6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9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8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8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8" shrinkToFit="false"/>
      <protection locked="true" hidden="false"/>
    </xf>
    <xf numFmtId="164" fontId="14" fillId="0" borderId="0" xfId="20" applyFont="true" applyBorder="false" applyAlignment="true" applyProtection="true">
      <alignment horizontal="left" vertical="bottom" textRotation="0" wrapText="false" indent="8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true" indent="8" shrinkToFit="false"/>
      <protection locked="true" hidden="false"/>
    </xf>
    <xf numFmtId="165" fontId="9" fillId="0" borderId="0" xfId="0" applyFont="true" applyBorder="false" applyAlignment="true" applyProtection="true">
      <alignment horizontal="left" vertical="bottom" textRotation="0" wrapText="false" indent="8" shrinkToFit="false"/>
      <protection locked="true" hidden="false"/>
    </xf>
    <xf numFmtId="170" fontId="9" fillId="0" borderId="0" xfId="15" applyFont="true" applyBorder="true" applyAlignment="true" applyProtection="true">
      <alignment horizontal="left" vertical="bottom" textRotation="0" wrapText="false" indent="8" shrinkToFit="false"/>
      <protection locked="true" hidden="false"/>
    </xf>
    <xf numFmtId="168" fontId="9" fillId="0" borderId="0" xfId="0" applyFont="true" applyBorder="false" applyAlignment="true" applyProtection="true">
      <alignment horizontal="left" vertical="bottom" textRotation="0" wrapText="false" indent="8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8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8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5" fillId="0" borderId="0" xfId="17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9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2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0" borderId="11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33" fillId="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" fillId="0" borderId="7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6" fillId="0" borderId="9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5" fillId="0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1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6" fillId="0" borderId="12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2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6" fillId="0" borderId="4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9" fillId="0" borderId="13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4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8" xfId="19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5" fillId="0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9" fillId="0" borderId="8" xfId="19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6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3" fillId="5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3" fillId="5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33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37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30" fillId="0" borderId="1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30" fillId="0" borderId="1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30" fillId="0" borderId="1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38" fillId="0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596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3</xdr:col>
      <xdr:colOff>333000</xdr:colOff>
      <xdr:row>5</xdr:row>
      <xdr:rowOff>569880</xdr:rowOff>
    </xdr:from>
    <xdr:to>
      <xdr:col>4</xdr:col>
      <xdr:colOff>1036440</xdr:colOff>
      <xdr:row>5</xdr:row>
      <xdr:rowOff>799920</xdr:rowOff>
    </xdr:to>
    <xdr:sp>
      <xdr:nvSpPr>
        <xdr:cNvPr id="1" name="ZoneTexte 6"/>
        <xdr:cNvSpPr/>
      </xdr:nvSpPr>
      <xdr:spPr>
        <a:xfrm>
          <a:off x="7020360" y="2215800"/>
          <a:ext cx="2497680" cy="2300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fr-FR" sz="1100" b="1" i="1" u="sng" strike="noStrike">
              <a:solidFill>
                <a:schemeClr val="dk1"/>
              </a:solidFill>
              <a:effectLst/>
              <a:uFillTx/>
              <a:latin typeface="Calibri"/>
              <a:ea typeface="DejaVu Sans"/>
            </a:rPr>
            <a:t>Maître d'ouvrage :</a:t>
          </a:r>
          <a:r>
            <a:rPr lang="fr-FR" sz="1200" b="0" u="none" strike="noStrike">
              <a:solidFill>
                <a:schemeClr val="dk1"/>
              </a:solidFill>
              <a:effectLst/>
              <a:uFillTx/>
              <a:latin typeface="Calibri"/>
              <a:ea typeface="DejaVu Sans"/>
            </a:rPr>
            <a:t> </a:t>
          </a:r>
          <a:endParaRPr lang="fr-FR" sz="12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"/>
  <sheetViews>
    <sheetView showFormulas="false" showGridLines="tru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33.41"/>
    <col collapsed="false" customWidth="true" hidden="false" outlineLevel="0" max="2" min="2" style="1" width="36"/>
    <col collapsed="false" customWidth="true" hidden="false" outlineLevel="0" max="4" min="3" style="1" width="25.46"/>
    <col collapsed="false" customWidth="true" hidden="false" outlineLevel="0" max="5" min="5" style="1" width="27.24"/>
    <col collapsed="false" customWidth="true" hidden="false" outlineLevel="0" max="6" min="6" style="1" width="19.3"/>
    <col collapsed="false" customWidth="true" hidden="false" outlineLevel="0" max="7" min="7" style="2" width="19.93"/>
    <col collapsed="false" customWidth="true" hidden="false" outlineLevel="0" max="8" min="8" style="2" width="18.49"/>
    <col collapsed="false" customWidth="true" hidden="false" outlineLevel="0" max="9" min="9" style="2" width="19.14"/>
    <col collapsed="false" customWidth="true" hidden="false" outlineLevel="0" max="13" min="10" style="2" width="12.97"/>
  </cols>
  <sheetData>
    <row r="1" customFormat="false" ht="17.3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G1" s="3" t="s">
        <v>5</v>
      </c>
      <c r="H1" s="3" t="s">
        <v>6</v>
      </c>
    </row>
    <row r="2" customFormat="false" ht="42" hidden="false" customHeight="true" outlineLevel="0" collapsed="false">
      <c r="A2" s="5" t="s">
        <v>7</v>
      </c>
      <c r="B2" s="5" t="s">
        <v>8</v>
      </c>
      <c r="C2" s="6" t="n">
        <v>1</v>
      </c>
      <c r="D2" s="7" t="n">
        <v>1</v>
      </c>
      <c r="E2" s="8" t="n">
        <v>46134</v>
      </c>
      <c r="F2" s="9" t="s">
        <v>9</v>
      </c>
      <c r="G2" s="10"/>
      <c r="H2" s="10"/>
      <c r="I2" s="11"/>
      <c r="J2" s="11"/>
      <c r="K2" s="11"/>
      <c r="L2" s="11"/>
      <c r="M2" s="11"/>
    </row>
    <row r="3" customFormat="false" ht="40.25" hidden="false" customHeight="false" outlineLevel="0" collapsed="false">
      <c r="A3" s="12" t="s">
        <v>10</v>
      </c>
      <c r="B3" s="13"/>
      <c r="C3" s="13"/>
      <c r="D3" s="14"/>
      <c r="E3" s="14"/>
      <c r="F3" s="9" t="s">
        <v>11</v>
      </c>
      <c r="G3" s="15"/>
      <c r="H3" s="15"/>
      <c r="I3" s="11"/>
      <c r="J3" s="11"/>
      <c r="K3" s="11"/>
      <c r="L3" s="11"/>
      <c r="M3" s="11"/>
    </row>
    <row r="4" customFormat="false" ht="15" hidden="false" customHeight="false" outlineLevel="0" collapsed="false">
      <c r="A4" s="13"/>
      <c r="B4" s="13"/>
      <c r="C4" s="13"/>
      <c r="D4" s="14"/>
      <c r="E4" s="14"/>
      <c r="F4" s="9" t="s">
        <v>12</v>
      </c>
      <c r="G4" s="15"/>
      <c r="H4" s="15"/>
      <c r="I4" s="11"/>
      <c r="J4" s="11"/>
      <c r="K4" s="11"/>
      <c r="L4" s="11"/>
      <c r="M4" s="11"/>
    </row>
    <row r="5" customFormat="false" ht="15" hidden="false" customHeight="false" outlineLevel="0" collapsed="false">
      <c r="A5" s="14"/>
      <c r="B5" s="14"/>
      <c r="C5" s="14"/>
      <c r="D5" s="16"/>
      <c r="E5" s="14"/>
      <c r="F5" s="14"/>
      <c r="G5" s="11"/>
      <c r="H5" s="11"/>
      <c r="I5" s="11"/>
      <c r="J5" s="11"/>
      <c r="K5" s="11"/>
      <c r="L5" s="11"/>
      <c r="M5" s="11"/>
    </row>
    <row r="6" customFormat="false" ht="90" hidden="false" customHeight="true" outlineLevel="0" collapsed="false">
      <c r="A6" s="17" t="s">
        <v>13</v>
      </c>
      <c r="B6" s="17"/>
      <c r="C6" s="14"/>
      <c r="D6" s="18"/>
      <c r="E6" s="14"/>
      <c r="F6" s="14"/>
      <c r="G6" s="19"/>
      <c r="H6" s="11"/>
      <c r="I6" s="11"/>
      <c r="J6" s="11"/>
      <c r="K6" s="11"/>
      <c r="L6" s="11"/>
      <c r="M6" s="11"/>
    </row>
    <row r="7" customFormat="false" ht="51.75" hidden="false" customHeight="true" outlineLevel="0" collapsed="false">
      <c r="A7" s="20" t="s">
        <v>14</v>
      </c>
      <c r="B7" s="21" t="s">
        <v>15</v>
      </c>
      <c r="C7" s="21"/>
      <c r="D7" s="21"/>
      <c r="E7" s="22" t="s">
        <v>16</v>
      </c>
      <c r="F7" s="14"/>
      <c r="G7" s="23"/>
      <c r="H7" s="11"/>
      <c r="I7" s="11"/>
      <c r="J7" s="11"/>
      <c r="K7" s="11"/>
      <c r="L7" s="11"/>
      <c r="M7" s="11"/>
    </row>
    <row r="8" customFormat="false" ht="17.35" hidden="false" customHeight="false" outlineLevel="0" collapsed="false">
      <c r="A8" s="14"/>
      <c r="B8" s="24"/>
      <c r="C8" s="24"/>
      <c r="D8" s="25"/>
      <c r="E8" s="14"/>
      <c r="F8" s="14"/>
      <c r="G8" s="11"/>
      <c r="H8" s="26"/>
      <c r="I8" s="26"/>
      <c r="J8" s="26"/>
      <c r="K8" s="26"/>
      <c r="L8" s="11"/>
      <c r="M8" s="11"/>
    </row>
    <row r="9" customFormat="false" ht="17.35" hidden="false" customHeight="false" outlineLevel="0" collapsed="false">
      <c r="A9" s="27" t="s">
        <v>17</v>
      </c>
      <c r="B9" s="28" t="s">
        <v>18</v>
      </c>
      <c r="C9" s="14"/>
      <c r="D9" s="18"/>
      <c r="E9" s="14"/>
      <c r="F9" s="14"/>
      <c r="G9" s="11"/>
      <c r="H9" s="29"/>
      <c r="I9" s="30"/>
      <c r="J9" s="30"/>
      <c r="K9" s="30"/>
      <c r="L9" s="11"/>
      <c r="M9" s="11"/>
    </row>
    <row r="10" customFormat="false" ht="17.35" hidden="false" customHeight="false" outlineLevel="0" collapsed="false">
      <c r="A10" s="31"/>
      <c r="B10" s="31"/>
      <c r="C10" s="14"/>
      <c r="D10" s="18"/>
      <c r="E10" s="14"/>
      <c r="F10" s="14"/>
      <c r="G10" s="11"/>
      <c r="H10" s="29"/>
      <c r="I10" s="30"/>
      <c r="J10" s="30"/>
      <c r="K10" s="30"/>
      <c r="L10" s="11"/>
      <c r="M10" s="11"/>
    </row>
    <row r="11" customFormat="false" ht="30.75" hidden="false" customHeight="true" outlineLevel="0" collapsed="false">
      <c r="A11" s="31"/>
      <c r="B11" s="31"/>
      <c r="C11" s="14"/>
      <c r="D11" s="18"/>
      <c r="E11" s="14"/>
      <c r="F11" s="14"/>
      <c r="G11" s="11"/>
      <c r="H11" s="32"/>
      <c r="I11" s="30"/>
      <c r="J11" s="33"/>
      <c r="K11" s="30"/>
      <c r="L11" s="11"/>
      <c r="M11" s="11"/>
    </row>
    <row r="12" customFormat="false" ht="15" hidden="false" customHeight="false" outlineLevel="0" collapsed="false">
      <c r="A12" s="27"/>
      <c r="B12" s="27"/>
      <c r="C12" s="14"/>
      <c r="D12" s="18"/>
      <c r="E12" s="14"/>
      <c r="F12" s="14"/>
      <c r="G12" s="11"/>
      <c r="H12" s="11"/>
      <c r="I12" s="11"/>
      <c r="J12" s="11"/>
      <c r="K12" s="11"/>
      <c r="L12" s="11"/>
      <c r="M12" s="11"/>
    </row>
    <row r="13" customFormat="false" ht="31.5" hidden="false" customHeight="true" outlineLevel="0" collapsed="false">
      <c r="A13" s="34"/>
      <c r="B13" s="35" t="s">
        <v>19</v>
      </c>
      <c r="C13" s="36" t="n">
        <f aca="false">D2</f>
        <v>1</v>
      </c>
      <c r="D13" s="14"/>
      <c r="E13" s="34"/>
      <c r="F13" s="37"/>
      <c r="G13" s="11"/>
      <c r="H13" s="11"/>
      <c r="I13" s="11"/>
      <c r="J13" s="11"/>
      <c r="K13" s="11"/>
      <c r="L13" s="11"/>
      <c r="M13" s="11"/>
    </row>
    <row r="14" customFormat="false" ht="37.5" hidden="false" customHeight="true" outlineLevel="0" collapsed="false">
      <c r="A14" s="34"/>
      <c r="B14" s="34"/>
      <c r="C14" s="38"/>
      <c r="D14" s="39"/>
      <c r="E14" s="34"/>
      <c r="F14" s="14"/>
      <c r="G14" s="11"/>
      <c r="H14" s="11"/>
      <c r="I14" s="11"/>
      <c r="J14" s="11"/>
      <c r="K14" s="11"/>
      <c r="L14" s="11"/>
      <c r="M14" s="11"/>
    </row>
    <row r="15" customFormat="false" ht="31.5" hidden="false" customHeight="true" outlineLevel="0" collapsed="false">
      <c r="A15" s="40" t="s">
        <v>20</v>
      </c>
      <c r="B15" s="40"/>
      <c r="C15" s="40" t="s">
        <v>21</v>
      </c>
      <c r="D15" s="40"/>
      <c r="E15" s="41" t="s">
        <v>22</v>
      </c>
      <c r="F15" s="14"/>
      <c r="G15" s="11"/>
      <c r="H15" s="11"/>
      <c r="I15" s="11"/>
      <c r="J15" s="11"/>
      <c r="K15" s="11"/>
      <c r="L15" s="11"/>
      <c r="M15" s="11"/>
    </row>
    <row r="16" customFormat="false" ht="44.25" hidden="false" customHeight="true" outlineLevel="0" collapsed="false">
      <c r="A16" s="42" t="str">
        <f aca="false">A2</f>
        <v>Platr’O’Matic SARL</v>
      </c>
      <c r="B16" s="43"/>
      <c r="C16" s="44" t="str">
        <f aca="false">B2</f>
        <v>lot1 : Isolation thermique</v>
      </c>
      <c r="D16" s="44"/>
      <c r="E16" s="45" t="n">
        <f aca="false">C2</f>
        <v>1</v>
      </c>
      <c r="F16" s="14"/>
      <c r="G16" s="11"/>
      <c r="H16" s="11"/>
      <c r="I16" s="11"/>
      <c r="J16" s="11"/>
      <c r="K16" s="11"/>
      <c r="L16" s="11"/>
      <c r="M16" s="11"/>
    </row>
    <row r="17" customFormat="false" ht="9.75" hidden="false" customHeight="true" outlineLevel="0" collapsed="false">
      <c r="A17" s="46"/>
      <c r="B17" s="46"/>
      <c r="C17" s="47"/>
      <c r="D17" s="47"/>
      <c r="E17" s="48"/>
      <c r="F17" s="14"/>
      <c r="G17" s="11"/>
      <c r="H17" s="11"/>
      <c r="I17" s="11"/>
      <c r="J17" s="11"/>
      <c r="K17" s="11"/>
      <c r="L17" s="11"/>
      <c r="M17" s="11"/>
    </row>
    <row r="18" customFormat="false" ht="19.5" hidden="false" customHeight="true" outlineLevel="0" collapsed="false">
      <c r="A18" s="49" t="s">
        <v>23</v>
      </c>
      <c r="B18" s="46"/>
      <c r="C18" s="50" t="s">
        <v>24</v>
      </c>
      <c r="D18" s="35" t="s">
        <v>25</v>
      </c>
      <c r="E18" s="35"/>
      <c r="F18" s="14"/>
      <c r="G18" s="11"/>
      <c r="H18" s="11"/>
      <c r="I18" s="11"/>
      <c r="J18" s="11"/>
      <c r="K18" s="11"/>
      <c r="L18" s="11"/>
      <c r="M18" s="11"/>
    </row>
    <row r="19" customFormat="false" ht="97.5" hidden="false" customHeight="true" outlineLevel="0" collapsed="false">
      <c r="A19" s="51" t="s">
        <v>26</v>
      </c>
      <c r="B19" s="52"/>
      <c r="C19" s="53" t="n">
        <v>46096</v>
      </c>
      <c r="D19" s="54"/>
      <c r="E19" s="54"/>
      <c r="F19" s="55"/>
      <c r="G19" s="56"/>
      <c r="H19" s="56"/>
      <c r="I19" s="56"/>
      <c r="J19" s="56"/>
      <c r="K19" s="56"/>
      <c r="L19" s="56"/>
      <c r="M19" s="56"/>
    </row>
    <row r="20" customFormat="false" ht="97.5" hidden="false" customHeight="true" outlineLevel="0" collapsed="false">
      <c r="A20" s="51" t="s">
        <v>27</v>
      </c>
      <c r="B20" s="52"/>
      <c r="C20" s="57" t="n">
        <v>46136</v>
      </c>
      <c r="D20" s="58" t="s">
        <v>28</v>
      </c>
      <c r="E20" s="58"/>
      <c r="F20" s="59"/>
      <c r="G20" s="60"/>
      <c r="H20" s="60"/>
      <c r="I20" s="60"/>
      <c r="J20" s="60"/>
      <c r="K20" s="60"/>
      <c r="L20" s="60"/>
      <c r="M20" s="60"/>
    </row>
    <row r="21" customFormat="false" ht="97.5" hidden="false" customHeight="true" outlineLevel="0" collapsed="false">
      <c r="A21" s="51" t="s">
        <v>29</v>
      </c>
      <c r="B21" s="52"/>
      <c r="C21" s="57"/>
      <c r="D21" s="54"/>
      <c r="E21" s="54"/>
      <c r="F21" s="14"/>
      <c r="G21" s="11"/>
      <c r="H21" s="11"/>
      <c r="I21" s="11"/>
      <c r="J21" s="11"/>
      <c r="K21" s="11"/>
      <c r="L21" s="11"/>
      <c r="M21" s="11"/>
    </row>
    <row r="22" customFormat="false" ht="97.5" hidden="false" customHeight="true" outlineLevel="0" collapsed="false">
      <c r="A22" s="51" t="s">
        <v>30</v>
      </c>
      <c r="B22" s="52"/>
      <c r="C22" s="57"/>
      <c r="D22" s="54"/>
      <c r="E22" s="54"/>
      <c r="F22" s="14"/>
      <c r="G22" s="11"/>
      <c r="H22" s="11"/>
      <c r="I22" s="11"/>
      <c r="J22" s="11"/>
      <c r="K22" s="11"/>
      <c r="L22" s="11"/>
      <c r="M22" s="11"/>
    </row>
    <row r="23" customFormat="false" ht="97.5" hidden="false" customHeight="true" outlineLevel="0" collapsed="false">
      <c r="A23" s="51" t="s">
        <v>31</v>
      </c>
      <c r="B23" s="52"/>
      <c r="C23" s="61" t="n">
        <v>46136</v>
      </c>
      <c r="D23" s="62" t="s">
        <v>28</v>
      </c>
      <c r="E23" s="62"/>
      <c r="F23" s="14"/>
      <c r="G23" s="11"/>
      <c r="H23" s="11"/>
      <c r="I23" s="11"/>
      <c r="J23" s="11"/>
      <c r="K23" s="11"/>
      <c r="L23" s="11"/>
      <c r="M23" s="11"/>
    </row>
    <row r="24" customFormat="false" ht="97.5" hidden="false" customHeight="true" outlineLevel="0" collapsed="false">
      <c r="A24" s="51" t="s">
        <v>32</v>
      </c>
      <c r="B24" s="52"/>
      <c r="C24" s="63"/>
      <c r="D24" s="54"/>
      <c r="E24" s="54"/>
      <c r="F24" s="14"/>
      <c r="G24" s="11"/>
      <c r="H24" s="11"/>
      <c r="I24" s="11"/>
      <c r="J24" s="11"/>
      <c r="K24" s="11"/>
      <c r="L24" s="11"/>
      <c r="M24" s="11"/>
    </row>
    <row r="26" customFormat="false" ht="82.5" hidden="false" customHeight="true" outlineLevel="0" collapsed="false">
      <c r="A26" s="64" t="s">
        <v>33</v>
      </c>
      <c r="B26" s="64"/>
      <c r="C26" s="65"/>
      <c r="D26" s="66"/>
      <c r="E26" s="67"/>
      <c r="F26" s="68"/>
      <c r="I26" s="69"/>
      <c r="J26" s="69"/>
      <c r="K26" s="69"/>
      <c r="L26" s="69"/>
      <c r="M26" s="69"/>
    </row>
    <row r="27" customFormat="false" ht="29.25" hidden="false" customHeight="true" outlineLevel="0" collapsed="false">
      <c r="A27" s="67"/>
      <c r="B27" s="67"/>
      <c r="C27" s="65"/>
      <c r="D27" s="66"/>
      <c r="E27" s="67"/>
      <c r="F27" s="68"/>
      <c r="I27" s="69"/>
      <c r="J27" s="69"/>
      <c r="K27" s="69"/>
      <c r="L27" s="69"/>
      <c r="M27" s="69"/>
    </row>
    <row r="28" customFormat="false" ht="36" hidden="false" customHeight="true" outlineLevel="0" collapsed="false">
      <c r="A28" s="70" t="s">
        <v>14</v>
      </c>
      <c r="B28" s="21" t="s">
        <v>15</v>
      </c>
      <c r="C28" s="21"/>
      <c r="D28" s="21"/>
      <c r="E28" s="71"/>
      <c r="F28" s="68"/>
      <c r="I28" s="69"/>
      <c r="J28" s="69"/>
      <c r="K28" s="69"/>
      <c r="L28" s="69"/>
      <c r="M28" s="69"/>
    </row>
    <row r="29" customFormat="false" ht="19.5" hidden="false" customHeight="true" outlineLevel="0" collapsed="false">
      <c r="A29" s="67" t="s">
        <v>34</v>
      </c>
      <c r="B29" s="72" t="s">
        <v>35</v>
      </c>
      <c r="C29" s="73"/>
      <c r="D29" s="74"/>
      <c r="E29" s="67"/>
      <c r="F29" s="68"/>
      <c r="I29" s="69"/>
      <c r="J29" s="69"/>
      <c r="K29" s="69"/>
      <c r="L29" s="69"/>
      <c r="M29" s="69"/>
    </row>
    <row r="30" customFormat="false" ht="19.5" hidden="false" customHeight="true" outlineLevel="0" collapsed="false">
      <c r="A30" s="67" t="s">
        <v>36</v>
      </c>
      <c r="B30" s="75" t="s">
        <v>18</v>
      </c>
      <c r="C30" s="73"/>
      <c r="D30" s="74"/>
      <c r="E30" s="67"/>
      <c r="F30" s="68"/>
      <c r="I30" s="69"/>
      <c r="J30" s="69"/>
      <c r="K30" s="69"/>
      <c r="L30" s="69"/>
      <c r="M30" s="69"/>
    </row>
    <row r="31" customFormat="false" ht="19.5" hidden="false" customHeight="true" outlineLevel="0" collapsed="false">
      <c r="A31" s="67"/>
      <c r="B31" s="74"/>
      <c r="C31" s="73"/>
      <c r="D31" s="74"/>
      <c r="E31" s="67"/>
      <c r="F31" s="68"/>
      <c r="I31" s="69"/>
      <c r="J31" s="69"/>
      <c r="K31" s="69"/>
      <c r="L31" s="69"/>
      <c r="M31" s="69"/>
    </row>
    <row r="32" customFormat="false" ht="19.5" hidden="false" customHeight="true" outlineLevel="0" collapsed="false">
      <c r="A32" s="67" t="s">
        <v>37</v>
      </c>
      <c r="B32" s="76" t="s">
        <v>38</v>
      </c>
      <c r="C32" s="76"/>
      <c r="D32" s="76"/>
      <c r="E32" s="76"/>
      <c r="F32" s="68"/>
      <c r="I32" s="69"/>
      <c r="J32" s="69"/>
      <c r="K32" s="69"/>
      <c r="L32" s="69"/>
      <c r="M32" s="69"/>
    </row>
    <row r="33" customFormat="false" ht="19.5" hidden="false" customHeight="true" outlineLevel="0" collapsed="false">
      <c r="A33" s="67" t="s">
        <v>39</v>
      </c>
      <c r="B33" s="77" t="s">
        <v>40</v>
      </c>
      <c r="C33" s="73"/>
      <c r="D33" s="74"/>
      <c r="E33" s="67"/>
      <c r="F33" s="68"/>
      <c r="I33" s="69"/>
      <c r="J33" s="69"/>
      <c r="K33" s="69"/>
      <c r="L33" s="69"/>
      <c r="M33" s="69"/>
    </row>
    <row r="34" customFormat="false" ht="19.5" hidden="false" customHeight="true" outlineLevel="0" collapsed="false">
      <c r="A34" s="67"/>
      <c r="B34" s="74"/>
      <c r="C34" s="73"/>
      <c r="D34" s="74"/>
      <c r="E34" s="67"/>
      <c r="F34" s="68"/>
      <c r="I34" s="69"/>
      <c r="J34" s="69"/>
      <c r="K34" s="69"/>
      <c r="L34" s="69"/>
      <c r="M34" s="69"/>
    </row>
    <row r="35" customFormat="false" ht="19.5" hidden="false" customHeight="true" outlineLevel="0" collapsed="false">
      <c r="A35" s="67" t="s">
        <v>41</v>
      </c>
      <c r="B35" s="78" t="s">
        <v>42</v>
      </c>
      <c r="C35" s="73"/>
      <c r="D35" s="74"/>
      <c r="E35" s="67"/>
      <c r="F35" s="68"/>
      <c r="I35" s="69"/>
      <c r="J35" s="69"/>
      <c r="K35" s="69"/>
      <c r="L35" s="69"/>
      <c r="M35" s="69"/>
    </row>
    <row r="36" customFormat="false" ht="19.5" hidden="false" customHeight="true" outlineLevel="0" collapsed="false">
      <c r="A36" s="67" t="s">
        <v>43</v>
      </c>
      <c r="B36" s="79" t="n">
        <v>46096</v>
      </c>
      <c r="C36" s="80"/>
      <c r="D36" s="81"/>
      <c r="F36" s="82"/>
      <c r="G36" s="83"/>
    </row>
    <row r="37" customFormat="false" ht="19.5" hidden="false" customHeight="true" outlineLevel="0" collapsed="false">
      <c r="B37" s="67"/>
      <c r="C37" s="67"/>
      <c r="E37" s="82"/>
      <c r="F37" s="82"/>
      <c r="G37" s="83"/>
    </row>
    <row r="38" customFormat="false" ht="22.5" hidden="false" customHeight="true" outlineLevel="0" collapsed="false">
      <c r="A38" s="84" t="s">
        <v>44</v>
      </c>
      <c r="B38" s="85"/>
      <c r="C38" s="86" t="n">
        <v>20000</v>
      </c>
      <c r="G38" s="1"/>
      <c r="H38" s="1"/>
      <c r="I38" s="1"/>
      <c r="J38" s="1"/>
      <c r="K38" s="1"/>
      <c r="L38" s="1"/>
      <c r="M38" s="1"/>
    </row>
    <row r="39" customFormat="false" ht="22.5" hidden="false" customHeight="true" outlineLevel="0" collapsed="false">
      <c r="A39" s="87" t="s">
        <v>45</v>
      </c>
      <c r="B39" s="88"/>
      <c r="C39" s="89"/>
      <c r="G39" s="1"/>
      <c r="H39" s="1"/>
      <c r="I39" s="1"/>
      <c r="J39" s="1"/>
      <c r="K39" s="1"/>
      <c r="L39" s="1"/>
      <c r="M39" s="1"/>
    </row>
    <row r="40" customFormat="false" ht="22.5" hidden="false" customHeight="true" outlineLevel="0" collapsed="false">
      <c r="A40" s="87" t="s">
        <v>46</v>
      </c>
      <c r="B40" s="88"/>
      <c r="C40" s="89" t="n">
        <v>0</v>
      </c>
      <c r="G40" s="1"/>
      <c r="H40" s="1"/>
      <c r="I40" s="1"/>
      <c r="J40" s="1"/>
      <c r="K40" s="1"/>
      <c r="L40" s="1"/>
      <c r="M40" s="1"/>
    </row>
    <row r="41" customFormat="false" ht="22.5" hidden="false" customHeight="true" outlineLevel="0" collapsed="false">
      <c r="A41" s="87" t="s">
        <v>47</v>
      </c>
      <c r="B41" s="88"/>
      <c r="C41" s="89" t="n">
        <f aca="false">SUM(C38:C40)</f>
        <v>20000</v>
      </c>
      <c r="H41" s="1"/>
      <c r="I41" s="1"/>
      <c r="J41" s="1"/>
      <c r="K41" s="1"/>
      <c r="L41" s="1"/>
      <c r="M41" s="1"/>
    </row>
    <row r="42" customFormat="false" ht="22.5" hidden="false" customHeight="true" outlineLevel="0" collapsed="false">
      <c r="A42" s="87" t="s">
        <v>48</v>
      </c>
      <c r="B42" s="90" t="n">
        <v>0.2</v>
      </c>
      <c r="C42" s="89" t="n">
        <f aca="false">B42*C41</f>
        <v>4000</v>
      </c>
      <c r="F42" s="2"/>
      <c r="H42" s="1"/>
      <c r="I42" s="1"/>
      <c r="J42" s="1"/>
      <c r="K42" s="1"/>
      <c r="L42" s="1"/>
      <c r="M42" s="1"/>
    </row>
    <row r="43" customFormat="false" ht="22.5" hidden="false" customHeight="true" outlineLevel="0" collapsed="false">
      <c r="A43" s="91" t="s">
        <v>49</v>
      </c>
      <c r="B43" s="92" t="s">
        <v>50</v>
      </c>
      <c r="C43" s="93" t="n">
        <f aca="false">SUM(C41:C42)</f>
        <v>24000</v>
      </c>
      <c r="D43" s="94"/>
      <c r="F43" s="1" t="s">
        <v>51</v>
      </c>
      <c r="H43" s="1"/>
      <c r="I43" s="1"/>
      <c r="J43" s="1"/>
      <c r="K43" s="1"/>
      <c r="L43" s="1"/>
      <c r="M43" s="1"/>
    </row>
    <row r="44" customFormat="false" ht="22.5" hidden="false" customHeight="true" outlineLevel="0" collapsed="false">
      <c r="A44" s="95" t="s">
        <v>52</v>
      </c>
      <c r="B44" s="96"/>
      <c r="C44" s="97" t="n">
        <v>2000</v>
      </c>
      <c r="E44" s="98"/>
      <c r="F44" s="98" t="n">
        <f aca="false">0.05*C43</f>
        <v>1200</v>
      </c>
      <c r="G44" s="1"/>
      <c r="H44" s="1"/>
      <c r="I44" s="1"/>
      <c r="J44" s="1"/>
      <c r="K44" s="1"/>
      <c r="L44" s="1"/>
      <c r="M44" s="1"/>
    </row>
    <row r="45" customFormat="false" ht="19.5" hidden="false" customHeight="true" outlineLevel="0" collapsed="false">
      <c r="A45" s="99"/>
      <c r="B45" s="99"/>
      <c r="C45" s="99"/>
      <c r="D45" s="99"/>
      <c r="E45" s="99"/>
    </row>
    <row r="46" customFormat="false" ht="27" hidden="false" customHeight="true" outlineLevel="0" collapsed="false">
      <c r="A46" s="100" t="str">
        <f aca="false">CONCATENATE("ETAT D'ACOMPTE N°",C2)</f>
        <v>ETAT D'ACOMPTE N°1</v>
      </c>
      <c r="B46" s="100"/>
      <c r="C46" s="100"/>
      <c r="D46" s="100"/>
      <c r="E46" s="100"/>
      <c r="F46" s="101"/>
      <c r="G46" s="102"/>
    </row>
    <row r="47" customFormat="false" ht="34.5" hidden="false" customHeight="true" outlineLevel="0" collapsed="false">
      <c r="A47" s="103" t="s">
        <v>53</v>
      </c>
      <c r="B47" s="104"/>
      <c r="C47" s="105" t="s">
        <v>54</v>
      </c>
      <c r="D47" s="106" t="s">
        <v>55</v>
      </c>
      <c r="E47" s="107" t="s">
        <v>56</v>
      </c>
      <c r="G47" s="2" t="s">
        <v>57</v>
      </c>
    </row>
    <row r="48" customFormat="false" ht="22.5" hidden="false" customHeight="true" outlineLevel="0" collapsed="false">
      <c r="A48" s="84" t="s">
        <v>58</v>
      </c>
      <c r="B48" s="85"/>
      <c r="C48" s="108" t="n">
        <v>12500</v>
      </c>
      <c r="D48" s="108"/>
      <c r="E48" s="109" t="n">
        <f aca="false">C48-D48</f>
        <v>12500</v>
      </c>
      <c r="G48" s="110" t="n">
        <f aca="false">C48/C41</f>
        <v>0.625</v>
      </c>
    </row>
    <row r="49" customFormat="false" ht="22.5" hidden="false" customHeight="true" outlineLevel="0" collapsed="false">
      <c r="A49" s="87" t="s">
        <v>59</v>
      </c>
      <c r="B49" s="88"/>
      <c r="C49" s="111"/>
      <c r="D49" s="111"/>
      <c r="E49" s="112" t="n">
        <f aca="false">C49-D49</f>
        <v>0</v>
      </c>
    </row>
    <row r="50" customFormat="false" ht="22.5" hidden="false" customHeight="true" outlineLevel="0" collapsed="false">
      <c r="A50" s="91" t="s">
        <v>60</v>
      </c>
      <c r="B50" s="113"/>
      <c r="C50" s="114" t="n">
        <f aca="false">SUM(C48:C49)</f>
        <v>12500</v>
      </c>
      <c r="D50" s="114"/>
      <c r="E50" s="115" t="n">
        <f aca="false">SUM(E48:E49)</f>
        <v>12500</v>
      </c>
    </row>
    <row r="51" customFormat="false" ht="22.5" hidden="false" customHeight="true" outlineLevel="0" collapsed="false">
      <c r="A51" s="116" t="s">
        <v>48</v>
      </c>
      <c r="B51" s="117" t="n">
        <f aca="false">B42</f>
        <v>0.2</v>
      </c>
      <c r="C51" s="118" t="n">
        <f aca="false">C50*$B51</f>
        <v>2500</v>
      </c>
      <c r="D51" s="118"/>
      <c r="E51" s="119" t="n">
        <f aca="false">C51-D51</f>
        <v>2500</v>
      </c>
    </row>
    <row r="52" customFormat="false" ht="22.5" hidden="false" customHeight="true" outlineLevel="0" collapsed="false">
      <c r="A52" s="120" t="s">
        <v>61</v>
      </c>
      <c r="B52" s="121"/>
      <c r="C52" s="118" t="n">
        <f aca="false">C50+C51</f>
        <v>15000</v>
      </c>
      <c r="D52" s="118"/>
      <c r="E52" s="119" t="n">
        <f aca="false">C52-D52</f>
        <v>15000</v>
      </c>
    </row>
    <row r="53" customFormat="false" ht="22.5" hidden="false" customHeight="true" outlineLevel="0" collapsed="false">
      <c r="A53" s="122" t="s">
        <v>62</v>
      </c>
      <c r="B53" s="123" t="n">
        <v>0</v>
      </c>
      <c r="C53" s="124" t="n">
        <v>700</v>
      </c>
      <c r="D53" s="124"/>
      <c r="E53" s="119" t="n">
        <f aca="false">C53-D53</f>
        <v>700</v>
      </c>
    </row>
    <row r="54" customFormat="false" ht="22.5" hidden="false" customHeight="true" outlineLevel="0" collapsed="false">
      <c r="A54" s="122" t="s">
        <v>63</v>
      </c>
      <c r="B54" s="125"/>
      <c r="C54" s="124" t="n">
        <v>700</v>
      </c>
      <c r="D54" s="124"/>
      <c r="E54" s="119" t="n">
        <f aca="false">C54-D54</f>
        <v>700</v>
      </c>
    </row>
    <row r="55" customFormat="false" ht="22.5" hidden="false" customHeight="true" outlineLevel="0" collapsed="false">
      <c r="A55" s="120" t="s">
        <v>61</v>
      </c>
      <c r="B55" s="121"/>
      <c r="C55" s="126" t="n">
        <f aca="false">C52-C53+C54</f>
        <v>15000</v>
      </c>
      <c r="D55" s="126"/>
      <c r="E55" s="118" t="n">
        <f aca="false">C55-D55</f>
        <v>15000</v>
      </c>
      <c r="F55" s="127"/>
    </row>
    <row r="56" customFormat="false" ht="22.5" hidden="false" customHeight="true" outlineLevel="0" collapsed="false">
      <c r="C56" s="128"/>
      <c r="E56" s="129"/>
    </row>
    <row r="57" customFormat="false" ht="22.5" hidden="false" customHeight="true" outlineLevel="0" collapsed="false">
      <c r="A57" s="130" t="s">
        <v>64</v>
      </c>
      <c r="B57" s="130"/>
      <c r="C57" s="131" t="s">
        <v>54</v>
      </c>
      <c r="D57" s="132" t="s">
        <v>55</v>
      </c>
      <c r="E57" s="133" t="s">
        <v>65</v>
      </c>
      <c r="G57" s="1"/>
      <c r="H57" s="1"/>
      <c r="J57" s="1"/>
      <c r="K57" s="1"/>
      <c r="L57" s="1"/>
      <c r="M57" s="1"/>
    </row>
    <row r="58" customFormat="false" ht="22.5" hidden="false" customHeight="true" outlineLevel="0" collapsed="false">
      <c r="A58" s="134"/>
      <c r="B58" s="135" t="str">
        <f aca="false">A2</f>
        <v>Platr’O’Matic SARL</v>
      </c>
      <c r="C58" s="136" t="n">
        <f aca="false">C55-C59-C60</f>
        <v>15000</v>
      </c>
      <c r="D58" s="137" t="n">
        <f aca="false">D55-D59-D60</f>
        <v>0</v>
      </c>
      <c r="E58" s="118" t="n">
        <f aca="false">C58-D58</f>
        <v>15000</v>
      </c>
      <c r="G58" s="127" t="n">
        <f aca="false">E58/1.2</f>
        <v>12500</v>
      </c>
      <c r="H58" s="127"/>
      <c r="J58" s="1"/>
      <c r="K58" s="1"/>
      <c r="L58" s="1"/>
      <c r="M58" s="1"/>
    </row>
    <row r="59" customFormat="false" ht="22.5" hidden="false" customHeight="true" outlineLevel="0" collapsed="false">
      <c r="B59" s="135" t="str">
        <f aca="false">CONCATENATE("Sous-traitant ",G2)</f>
        <v>Sous-traitant </v>
      </c>
      <c r="C59" s="138" t="n">
        <f aca="false">G3</f>
        <v>0</v>
      </c>
      <c r="D59" s="139" t="n">
        <v>0</v>
      </c>
      <c r="E59" s="118" t="n">
        <f aca="false">C59-D59</f>
        <v>0</v>
      </c>
      <c r="G59" s="127" t="n">
        <f aca="false">E58-G58</f>
        <v>2500</v>
      </c>
      <c r="H59" s="127"/>
      <c r="J59" s="1"/>
      <c r="K59" s="1"/>
      <c r="L59" s="1"/>
      <c r="M59" s="1"/>
    </row>
    <row r="60" customFormat="false" ht="22.5" hidden="false" customHeight="true" outlineLevel="0" collapsed="false">
      <c r="B60" s="135" t="str">
        <f aca="false">CONCATENATE("Sous-traitant ",H2)</f>
        <v>Sous-traitant </v>
      </c>
      <c r="C60" s="138" t="n">
        <f aca="false">H3</f>
        <v>0</v>
      </c>
      <c r="D60" s="139" t="n">
        <v>0</v>
      </c>
      <c r="E60" s="118" t="n">
        <f aca="false">C60-D60</f>
        <v>0</v>
      </c>
      <c r="G60" s="1"/>
      <c r="H60" s="1"/>
      <c r="J60" s="1"/>
      <c r="K60" s="1"/>
      <c r="L60" s="1"/>
      <c r="M60" s="1"/>
    </row>
    <row r="61" customFormat="false" ht="22.5" hidden="false" customHeight="true" outlineLevel="0" collapsed="false">
      <c r="B61" s="140"/>
      <c r="C61" s="141" t="s">
        <v>50</v>
      </c>
      <c r="D61" s="141"/>
      <c r="E61" s="142"/>
    </row>
    <row r="62" customFormat="false" ht="19.5" hidden="false" customHeight="true" outlineLevel="0" collapsed="false">
      <c r="A62" s="143" t="s">
        <v>66</v>
      </c>
      <c r="B62" s="144" t="n">
        <v>46134</v>
      </c>
      <c r="C62" s="128" t="s">
        <v>50</v>
      </c>
      <c r="D62" s="128"/>
      <c r="E62" s="128"/>
      <c r="F62" s="145"/>
    </row>
    <row r="63" customFormat="false" ht="19.5" hidden="false" customHeight="true" outlineLevel="0" collapsed="false">
      <c r="A63" s="146" t="s">
        <v>67</v>
      </c>
      <c r="B63" s="147"/>
      <c r="D63" s="148"/>
      <c r="E63" s="128"/>
    </row>
    <row r="64" customFormat="false" ht="19.5" hidden="false" customHeight="true" outlineLevel="0" collapsed="false">
      <c r="A64" s="87"/>
      <c r="B64" s="149"/>
      <c r="D64" s="128"/>
      <c r="E64" s="128"/>
    </row>
    <row r="65" customFormat="false" ht="19.5" hidden="false" customHeight="true" outlineLevel="0" collapsed="false">
      <c r="A65" s="87"/>
      <c r="B65" s="88"/>
    </row>
    <row r="66" customFormat="false" ht="19.5" hidden="false" customHeight="true" outlineLevel="0" collapsed="false">
      <c r="A66" s="87"/>
      <c r="B66" s="88"/>
    </row>
    <row r="67" customFormat="false" ht="19.5" hidden="false" customHeight="true" outlineLevel="0" collapsed="false">
      <c r="A67" s="87"/>
      <c r="B67" s="88"/>
    </row>
    <row r="68" customFormat="false" ht="19.5" hidden="false" customHeight="true" outlineLevel="0" collapsed="false">
      <c r="A68" s="150" t="s">
        <v>68</v>
      </c>
      <c r="B68" s="92"/>
    </row>
  </sheetData>
  <mergeCells count="17">
    <mergeCell ref="A6:B6"/>
    <mergeCell ref="B7:D7"/>
    <mergeCell ref="A15:B15"/>
    <mergeCell ref="C15:D15"/>
    <mergeCell ref="C16:D16"/>
    <mergeCell ref="D18:E18"/>
    <mergeCell ref="D19:E19"/>
    <mergeCell ref="D20:E20"/>
    <mergeCell ref="D21:E21"/>
    <mergeCell ref="D22:E22"/>
    <mergeCell ref="D23:E23"/>
    <mergeCell ref="D24:E24"/>
    <mergeCell ref="A26:B26"/>
    <mergeCell ref="B28:D28"/>
    <mergeCell ref="B32:E32"/>
    <mergeCell ref="A45:E45"/>
    <mergeCell ref="A46:E4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2026-04-24T10:46:18Z</dcterms:created>
  <dc:creator/>
  <dc:description/>
  <dc:language>fr-FR</dc:language>
  <cp:lastModifiedBy/>
  <dcterms:modified xsi:type="dcterms:W3CDTF">2026-04-24T10:52:56Z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