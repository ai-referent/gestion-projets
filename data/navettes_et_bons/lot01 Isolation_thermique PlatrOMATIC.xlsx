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Feuille1" sheetId="1" state="visible" r:id="rId1"/>
    <sheet name="FAC-2026-001" sheetId="2" state="visible" r:id="rId2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8">
    <numFmt numFmtId="164" formatCode="_-* #,##0.00&quot; €&quot;_-;\-* #,##0.00&quot; €&quot;_-;_-* \-??&quot; €&quot;_-;_-@_-"/>
    <numFmt numFmtId="165" formatCode="dd/mm/yyyy"/>
    <numFmt numFmtId="166" formatCode="0.0%"/>
    <numFmt numFmtId="167" formatCode="_-* #,##0.00\ [$€-40C]_-;\-* #,##0.00\ [$€-40C]_-;_-* \-??\ [$€-40C]_-;_-@_-"/>
    <numFmt numFmtId="168" formatCode="0\ %"/>
    <numFmt numFmtId="169" formatCode="#,##0.00\ [$€-40C];[RED]\-#,##0.00\ [$€-40C]"/>
    <numFmt numFmtId="170" formatCode="_-* #,##0.00\ _€_-;\-* #,##0.00\ _€_-;_-* \-??\ _€_-;_-@_-"/>
    <numFmt numFmtId="171" formatCode="#,##0.00 &quot;EUR&quot;"/>
  </numFmts>
  <fonts count="4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sz val="10"/>
    </font>
    <font>
      <name val="Trebuchet MS"/>
      <charset val="1"/>
      <family val="2"/>
      <color theme="1"/>
      <sz val="12"/>
    </font>
    <font>
      <name val="Trebuchet MS"/>
      <charset val="1"/>
      <family val="2"/>
      <b val="1"/>
      <color theme="1"/>
      <sz val="12"/>
    </font>
    <font>
      <name val="Trebuchet MS"/>
      <charset val="1"/>
      <family val="2"/>
      <b val="1"/>
      <color theme="1"/>
      <sz val="14"/>
    </font>
    <font>
      <name val="Trebuchet MS"/>
      <charset val="1"/>
      <family val="2"/>
      <b val="1"/>
      <sz val="14"/>
    </font>
    <font>
      <name val="Trebuchet MS"/>
      <charset val="1"/>
      <family val="2"/>
      <sz val="12"/>
    </font>
    <font>
      <name val="Trebuchet MS"/>
      <charset val="1"/>
      <family val="2"/>
      <sz val="9"/>
    </font>
    <font>
      <name val="Trebuchet MS"/>
      <charset val="1"/>
      <family val="2"/>
      <i val="1"/>
      <sz val="9"/>
    </font>
    <font>
      <name val="Trebuchet MS"/>
      <charset val="1"/>
      <family val="2"/>
      <b val="1"/>
      <sz val="9"/>
      <u val="single"/>
    </font>
    <font>
      <name val="Trebuchet MS"/>
      <charset val="1"/>
      <family val="2"/>
      <b val="1"/>
      <sz val="16"/>
    </font>
    <font>
      <name val="Trebuchet MS"/>
      <charset val="1"/>
      <family val="2"/>
      <sz val="10"/>
    </font>
    <font>
      <name val="Trebuchet MS"/>
      <charset val="1"/>
      <family val="2"/>
      <b val="1"/>
      <i val="1"/>
      <sz val="9"/>
      <u val="single"/>
    </font>
    <font>
      <name val="Trebuchet MS"/>
      <charset val="1"/>
      <family val="2"/>
      <b val="1"/>
      <sz val="12"/>
    </font>
    <font>
      <name val="Trebuchet MS"/>
      <charset val="1"/>
      <family val="2"/>
      <sz val="11"/>
    </font>
    <font>
      <name val="Calibri"/>
      <charset val="1"/>
      <family val="2"/>
      <color rgb="FF000000"/>
      <sz val="14"/>
    </font>
    <font>
      <name val="Trebuchet MS"/>
      <charset val="1"/>
      <family val="2"/>
      <b val="1"/>
      <sz val="9"/>
    </font>
    <font>
      <name val="Trebuchet MS"/>
      <charset val="1"/>
      <family val="2"/>
      <b val="1"/>
      <sz val="11"/>
    </font>
    <font>
      <name val="Trebuchet MS"/>
      <charset val="1"/>
      <family val="2"/>
      <sz val="18"/>
    </font>
    <font>
      <name val="Trebuchet MS"/>
      <charset val="1"/>
      <family val="2"/>
      <color rgb="FFFF0000"/>
      <sz val="20"/>
    </font>
    <font>
      <name val="Trebuchet MS"/>
      <charset val="1"/>
      <family val="2"/>
      <b val="1"/>
      <sz val="10"/>
    </font>
    <font>
      <name val="Trebuchet MS"/>
      <charset val="1"/>
      <family val="2"/>
      <sz val="16"/>
    </font>
    <font>
      <name val="Trebuchet MS"/>
      <charset val="1"/>
      <family val="2"/>
      <sz val="14"/>
    </font>
    <font>
      <name val="Trebuchet MS"/>
      <charset val="1"/>
      <family val="2"/>
      <b val="1"/>
      <i val="1"/>
      <sz val="14"/>
    </font>
    <font>
      <name val="Trebuchet MS"/>
      <charset val="1"/>
      <family val="2"/>
      <b val="1"/>
      <sz val="18"/>
    </font>
    <font>
      <name val="Trebuchet MS"/>
      <charset val="1"/>
      <family val="2"/>
      <b val="1"/>
      <i val="1"/>
      <sz val="12"/>
    </font>
    <font>
      <name val="Trebuchet MS"/>
      <charset val="1"/>
      <family val="2"/>
      <i val="1"/>
      <sz val="12"/>
    </font>
    <font>
      <name val="Trebuchet MS"/>
      <charset val="1"/>
      <family val="2"/>
      <color theme="1"/>
      <sz val="11"/>
    </font>
    <font>
      <name val="Trebuchet MS"/>
      <charset val="1"/>
      <family val="2"/>
      <b val="1"/>
      <color rgb="FFFF0000"/>
      <sz val="12"/>
    </font>
    <font>
      <name val="Trebuchet MS"/>
      <charset val="1"/>
      <family val="2"/>
      <b val="1"/>
      <color theme="0"/>
      <sz val="14"/>
    </font>
    <font>
      <name val="Trebuchet MS"/>
      <charset val="1"/>
      <family val="2"/>
      <b val="1"/>
      <color theme="0"/>
      <sz val="12"/>
    </font>
    <font>
      <name val="Trebuchet MS"/>
      <charset val="1"/>
      <family val="2"/>
      <color theme="1"/>
      <sz val="10.5"/>
    </font>
    <font>
      <name val="Trebuchet MS"/>
      <charset val="1"/>
      <family val="2"/>
      <color theme="0"/>
      <sz val="12"/>
    </font>
    <font>
      <name val="Trebuchet MS"/>
      <charset val="1"/>
      <family val="2"/>
      <i val="1"/>
      <color theme="1"/>
      <sz val="11"/>
    </font>
    <font>
      <name val="Trebuchet MS"/>
      <charset val="1"/>
      <family val="2"/>
      <b val="1"/>
      <color theme="1"/>
      <sz val="11"/>
    </font>
    <font>
      <name val="Trebuchet MS"/>
      <charset val="1"/>
      <family val="2"/>
      <i val="1"/>
      <color theme="1"/>
      <sz val="12"/>
    </font>
    <font>
      <name val="Trebuchet MS"/>
      <charset val="1"/>
      <family val="2"/>
      <color rgb="FFFF0000"/>
      <sz val="12"/>
    </font>
    <font>
      <name val="Trebuchet MS"/>
      <charset val="1"/>
      <family val="2"/>
      <b val="1"/>
      <color theme="1"/>
      <sz val="12"/>
      <u val="single"/>
    </font>
    <font>
      <name val="Calibri"/>
      <family val="0"/>
      <b val="1"/>
      <i val="1"/>
      <color theme="1"/>
      <sz val="11"/>
      <u val="single"/>
    </font>
    <font>
      <name val="Calibri"/>
      <family val="0"/>
      <color theme="1"/>
      <sz val="12"/>
    </font>
    <font>
      <b val="1"/>
      <sz val="13"/>
    </font>
    <font>
      <b val="1"/>
      <color rgb="001E8449"/>
    </font>
    <font>
      <b val="1"/>
    </font>
  </fonts>
  <fills count="7">
    <fill>
      <patternFill/>
    </fill>
    <fill>
      <patternFill patternType="gray125"/>
    </fill>
    <fill>
      <patternFill patternType="solid">
        <fgColor rgb="FF81D41A"/>
        <bgColor rgb="FF969696"/>
      </patternFill>
    </fill>
    <fill>
      <patternFill patternType="solid">
        <fgColor theme="0" tint="-0.25"/>
        <bgColor rgb="FFCCCCFF"/>
      </patternFill>
    </fill>
    <fill>
      <patternFill patternType="solid">
        <fgColor rgb="FF259600"/>
        <bgColor rgb="FF339966"/>
      </patternFill>
    </fill>
    <fill>
      <patternFill patternType="solid">
        <fgColor theme="1" tint="0.4999"/>
        <bgColor rgb="FF969696"/>
      </patternFill>
    </fill>
    <fill>
      <patternFill patternType="solid">
        <fgColor theme="0" tint="-0.05"/>
        <bgColor rgb="FFFFFFFF"/>
      </patternFill>
    </fill>
  </fills>
  <borders count="27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 style="thin"/>
      <top style="thin"/>
      <bottom style="thin"/>
      <diagonal/>
    </border>
    <border>
      <left/>
      <right/>
      <top/>
      <bottom style="thin">
        <color rgb="FF259600"/>
      </bottom>
      <diagonal/>
    </border>
    <border>
      <left style="thin">
        <color rgb="FF259600"/>
      </left>
      <right style="thin">
        <color rgb="FF259600"/>
      </right>
      <top style="thin">
        <color rgb="FF259600"/>
      </top>
      <bottom style="thin">
        <color rgb="FF259600"/>
      </bottom>
      <diagonal/>
    </border>
    <border>
      <left style="thin"/>
      <right/>
      <top style="thin">
        <color rgb="FF259600"/>
      </top>
      <bottom style="thin"/>
      <diagonal/>
    </border>
    <border>
      <left/>
      <right style="thin"/>
      <top style="thin">
        <color rgb="FF259600"/>
      </top>
      <bottom style="thin"/>
      <diagonal/>
    </border>
    <border>
      <left/>
      <right/>
      <top/>
      <bottom style="thin"/>
      <diagonal/>
    </border>
    <border>
      <left style="thin">
        <color theme="1" tint="0.4999"/>
      </left>
      <right/>
      <top style="thin">
        <color theme="1" tint="0.4999"/>
      </top>
      <bottom/>
      <diagonal/>
    </border>
    <border>
      <left/>
      <right/>
      <top style="thin">
        <color theme="1" tint="0.4999"/>
      </top>
      <bottom/>
      <diagonal/>
    </border>
    <border>
      <left/>
      <right style="thin">
        <color theme="1" tint="0.4999"/>
      </right>
      <top style="thin">
        <color theme="1" tint="0.4999"/>
      </top>
      <bottom/>
      <diagonal/>
    </border>
    <border>
      <left/>
      <right/>
      <top style="thin"/>
      <bottom/>
      <diagonal/>
    </border>
    <border>
      <left/>
      <right/>
      <top style="thin">
        <color rgb="FF259600"/>
      </top>
      <bottom/>
      <diagonal/>
    </border>
    <border>
      <left/>
      <right style="thin">
        <color rgb="FF259600"/>
      </right>
      <top style="thin">
        <color rgb="FF259600"/>
      </top>
      <bottom/>
      <diagonal/>
    </border>
    <border>
      <left/>
      <right/>
      <top style="thin">
        <color rgb="FF259600"/>
      </top>
      <bottom style="thin">
        <color rgb="FF259600"/>
      </bottom>
      <diagonal/>
    </border>
    <border>
      <left/>
      <right style="thin">
        <color rgb="FF259600"/>
      </right>
      <top style="thin">
        <color rgb="FF259600"/>
      </top>
      <bottom style="thin">
        <color rgb="FF259600"/>
      </bottom>
      <diagonal/>
    </border>
  </borders>
  <cellStyleXfs count="8">
    <xf numFmtId="0" fontId="0" fillId="0" borderId="0" applyAlignment="1">
      <alignment horizontal="general" vertical="bottom"/>
    </xf>
    <xf numFmtId="170" fontId="0" fillId="0" borderId="0" applyAlignment="1">
      <alignment horizontal="general" vertical="bottom"/>
    </xf>
    <xf numFmtId="41" fontId="3" fillId="0" borderId="0"/>
    <xf numFmtId="164" fontId="0" fillId="0" borderId="0" applyAlignment="1">
      <alignment horizontal="general" vertical="bottom"/>
    </xf>
    <xf numFmtId="42" fontId="3" fillId="0" borderId="0"/>
    <xf numFmtId="168" fontId="0" fillId="0" borderId="0" applyAlignment="1">
      <alignment horizontal="general" vertical="bottom"/>
    </xf>
    <xf numFmtId="4" fontId="4" fillId="0" borderId="0" applyAlignment="1">
      <alignment horizontal="right" vertical="bottom"/>
    </xf>
    <xf numFmtId="0" fontId="0" fillId="0" borderId="0" applyAlignment="1">
      <alignment horizontal="general" vertical="bottom"/>
    </xf>
  </cellStyleXfs>
  <cellXfs count="310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center"/>
    </xf>
    <xf numFmtId="164" fontId="5" fillId="0" borderId="0" applyAlignment="1" pivotButton="0" quotePrefix="0" xfId="17">
      <alignment horizontal="general" vertical="center"/>
    </xf>
    <xf numFmtId="0" fontId="6" fillId="0" borderId="1" applyAlignment="1" pivotButton="0" quotePrefix="0" xfId="0">
      <alignment horizontal="general" vertical="center"/>
    </xf>
    <xf numFmtId="0" fontId="7" fillId="0" borderId="1" applyAlignment="1" pivotButton="0" quotePrefix="0" xfId="0">
      <alignment horizontal="general" vertical="center"/>
    </xf>
    <xf numFmtId="4" fontId="8" fillId="0" borderId="1" applyAlignment="1" pivotButton="0" quotePrefix="0" xfId="20">
      <alignment horizontal="left" vertical="bottom"/>
    </xf>
    <xf numFmtId="3" fontId="8" fillId="0" borderId="1" applyAlignment="1" pivotButton="0" quotePrefix="0" xfId="20">
      <alignment horizontal="center" vertical="bottom"/>
    </xf>
    <xf numFmtId="3" fontId="8" fillId="0" borderId="1" applyAlignment="1" pivotButton="0" quotePrefix="0" xfId="20">
      <alignment horizontal="right" vertical="bottom"/>
    </xf>
    <xf numFmtId="165" fontId="8" fillId="0" borderId="1" applyAlignment="1" pivotButton="0" quotePrefix="0" xfId="20">
      <alignment horizontal="right" vertical="bottom"/>
    </xf>
    <xf numFmtId="4" fontId="9" fillId="0" borderId="1" applyAlignment="1" pivotButton="0" quotePrefix="0" xfId="20">
      <alignment horizontal="left" vertical="bottom"/>
    </xf>
    <xf numFmtId="164" fontId="8" fillId="0" borderId="1" applyAlignment="1" pivotButton="0" quotePrefix="0" xfId="17">
      <alignment horizontal="right" vertical="bottom"/>
    </xf>
    <xf numFmtId="164" fontId="10" fillId="0" borderId="0" applyAlignment="1" pivotButton="0" quotePrefix="0" xfId="17">
      <alignment horizontal="left" vertical="bottom"/>
    </xf>
    <xf numFmtId="4" fontId="8" fillId="0" borderId="1" applyAlignment="1" pivotButton="0" quotePrefix="0" xfId="20">
      <alignment horizontal="left" vertical="bottom" wrapText="1"/>
    </xf>
    <xf numFmtId="4" fontId="11" fillId="0" borderId="0" applyAlignment="1" pivotButton="0" quotePrefix="0" xfId="20">
      <alignment horizontal="left" vertical="bottom"/>
    </xf>
    <xf numFmtId="4" fontId="10" fillId="0" borderId="0" applyAlignment="1" pivotButton="0" quotePrefix="0" xfId="20">
      <alignment horizontal="left" vertical="bottom"/>
    </xf>
    <xf numFmtId="164" fontId="9" fillId="0" borderId="1" applyAlignment="1" pivotButton="0" quotePrefix="0" xfId="17">
      <alignment horizontal="right" vertical="bottom"/>
    </xf>
    <xf numFmtId="4" fontId="12" fillId="0" borderId="0" applyAlignment="1" pivotButton="0" quotePrefix="0" xfId="20">
      <alignment horizontal="right" vertical="bottom"/>
    </xf>
    <xf numFmtId="4" fontId="13" fillId="2" borderId="0" applyAlignment="1" pivotButton="0" quotePrefix="0" xfId="20">
      <alignment horizontal="left" vertical="top"/>
    </xf>
    <xf numFmtId="4" fontId="10" fillId="0" borderId="0" applyAlignment="1" pivotButton="0" quotePrefix="0" xfId="20">
      <alignment horizontal="right" vertical="bottom"/>
    </xf>
    <xf numFmtId="0" fontId="14" fillId="0" borderId="0" applyAlignment="1" pivotButton="0" quotePrefix="0" xfId="0">
      <alignment horizontal="general" vertical="bottom" wrapText="1"/>
    </xf>
    <xf numFmtId="4" fontId="15" fillId="0" borderId="0" applyAlignment="1" pivotButton="0" quotePrefix="0" xfId="20">
      <alignment horizontal="left" vertical="top"/>
    </xf>
    <xf numFmtId="0" fontId="16" fillId="0" borderId="0" applyAlignment="1" pivotButton="0" quotePrefix="0" xfId="0">
      <alignment horizontal="left" vertical="bottom" wrapText="1" indent="8"/>
    </xf>
    <xf numFmtId="4" fontId="17" fillId="0" borderId="0" applyAlignment="1" pivotButton="0" quotePrefix="0" xfId="20">
      <alignment horizontal="left" vertical="top" wrapText="1"/>
    </xf>
    <xf numFmtId="0" fontId="14" fillId="0" borderId="0" applyAlignment="1" pivotButton="0" quotePrefix="0" xfId="0">
      <alignment horizontal="general" vertical="bottom"/>
    </xf>
    <xf numFmtId="4" fontId="17" fillId="0" borderId="0" applyAlignment="1" pivotButton="0" quotePrefix="0" xfId="20">
      <alignment horizontal="left" vertical="bottom"/>
    </xf>
    <xf numFmtId="4" fontId="17" fillId="0" borderId="0" applyAlignment="1" pivotButton="0" quotePrefix="0" xfId="20">
      <alignment horizontal="right" vertical="bottom"/>
    </xf>
    <xf numFmtId="164" fontId="18" fillId="0" borderId="0" applyAlignment="1" pivotButton="0" quotePrefix="0" xfId="17">
      <alignment horizontal="general" vertical="bottom" wrapText="1"/>
    </xf>
    <xf numFmtId="4" fontId="15" fillId="0" borderId="0" applyAlignment="1" pivotButton="0" quotePrefix="0" xfId="20">
      <alignment horizontal="left" vertical="bottom"/>
    </xf>
    <xf numFmtId="0" fontId="14" fillId="0" borderId="0" applyAlignment="1" pivotButton="0" quotePrefix="0" xfId="20">
      <alignment horizontal="left" vertical="bottom"/>
    </xf>
    <xf numFmtId="164" fontId="18" fillId="0" borderId="0" applyAlignment="1" pivotButton="0" quotePrefix="0" xfId="17">
      <alignment horizontal="general" vertical="bottom"/>
    </xf>
    <xf numFmtId="164" fontId="14" fillId="0" borderId="0" applyAlignment="1" pivotButton="0" quotePrefix="0" xfId="17">
      <alignment horizontal="general" vertical="bottom"/>
    </xf>
    <xf numFmtId="4" fontId="19" fillId="0" borderId="0" applyAlignment="1" pivotButton="0" quotePrefix="0" xfId="20">
      <alignment horizontal="left" vertical="bottom"/>
    </xf>
    <xf numFmtId="164" fontId="20" fillId="0" borderId="0" applyAlignment="1" pivotButton="0" quotePrefix="0" xfId="17">
      <alignment horizontal="left" vertical="bottom"/>
    </xf>
    <xf numFmtId="164" fontId="14" fillId="0" borderId="0" applyAlignment="1" pivotButton="0" quotePrefix="0" xfId="17">
      <alignment horizontal="center" vertical="bottom"/>
    </xf>
    <xf numFmtId="0" fontId="14" fillId="0" borderId="0" applyAlignment="1" pivotButton="0" quotePrefix="0" xfId="21">
      <alignment horizontal="general" vertical="bottom"/>
    </xf>
    <xf numFmtId="0" fontId="14" fillId="0" borderId="1" applyAlignment="1" pivotButton="0" quotePrefix="0" xfId="21">
      <alignment horizontal="center" vertical="center"/>
    </xf>
    <xf numFmtId="3" fontId="21" fillId="0" borderId="1" applyAlignment="1" pivotButton="0" quotePrefix="0" xfId="21">
      <alignment horizontal="center" vertical="center"/>
    </xf>
    <xf numFmtId="4" fontId="22" fillId="0" borderId="0" applyAlignment="1" pivotButton="0" quotePrefix="0" xfId="20">
      <alignment horizontal="left" vertical="bottom"/>
    </xf>
    <xf numFmtId="0" fontId="23" fillId="0" borderId="0" applyAlignment="1" pivotButton="0" quotePrefix="0" xfId="21">
      <alignment horizontal="general" vertical="center"/>
    </xf>
    <xf numFmtId="0" fontId="14" fillId="0" borderId="0" applyAlignment="1" pivotButton="0" quotePrefix="0" xfId="21">
      <alignment horizontal="general" vertical="center"/>
    </xf>
    <xf numFmtId="0" fontId="16" fillId="3" borderId="1" applyAlignment="1" pivotButton="0" quotePrefix="0" xfId="21">
      <alignment horizontal="left" vertical="center"/>
    </xf>
    <xf numFmtId="0" fontId="16" fillId="3" borderId="1" applyAlignment="1" pivotButton="0" quotePrefix="0" xfId="21">
      <alignment horizontal="left" vertical="center" indent="1"/>
    </xf>
    <xf numFmtId="4" fontId="13" fillId="0" borderId="2" applyAlignment="1" pivotButton="0" quotePrefix="0" xfId="21">
      <alignment horizontal="left" vertical="center" indent="1"/>
    </xf>
    <xf numFmtId="0" fontId="24" fillId="0" borderId="3" applyAlignment="1" pivotButton="0" quotePrefix="0" xfId="21">
      <alignment horizontal="left" vertical="center" indent="1"/>
    </xf>
    <xf numFmtId="4" fontId="25" fillId="0" borderId="1" applyAlignment="1" pivotButton="0" quotePrefix="0" xfId="21">
      <alignment horizontal="center" vertical="center" wrapText="1"/>
    </xf>
    <xf numFmtId="3" fontId="24" fillId="0" borderId="4" applyAlignment="1" pivotButton="0" quotePrefix="0" xfId="21">
      <alignment horizontal="center" vertical="center" wrapText="1"/>
    </xf>
    <xf numFmtId="0" fontId="14" fillId="0" borderId="5" applyAlignment="1" pivotButton="0" quotePrefix="0" xfId="21">
      <alignment horizontal="left" vertical="center" indent="1"/>
    </xf>
    <xf numFmtId="0" fontId="14" fillId="0" borderId="5" applyAlignment="1" pivotButton="0" quotePrefix="0" xfId="21">
      <alignment horizontal="general" vertical="center"/>
    </xf>
    <xf numFmtId="0" fontId="14" fillId="0" borderId="5" applyAlignment="1" pivotButton="0" quotePrefix="0" xfId="21">
      <alignment horizontal="general" vertical="center" wrapText="1"/>
    </xf>
    <xf numFmtId="0" fontId="14" fillId="0" borderId="6" applyAlignment="1" pivotButton="0" quotePrefix="0" xfId="21">
      <alignment horizontal="left" vertical="center" indent="1"/>
    </xf>
    <xf numFmtId="0" fontId="14" fillId="0" borderId="6" applyAlignment="1" pivotButton="0" quotePrefix="0" xfId="21">
      <alignment horizontal="center" vertical="center"/>
    </xf>
    <xf numFmtId="0" fontId="17" fillId="0" borderId="6" applyAlignment="1" pivotButton="0" quotePrefix="0" xfId="21">
      <alignment horizontal="left" vertical="center" indent="1"/>
    </xf>
    <xf numFmtId="0" fontId="17" fillId="0" borderId="5" applyAlignment="1" pivotButton="0" quotePrefix="0" xfId="21">
      <alignment horizontal="left" vertical="center" indent="1"/>
    </xf>
    <xf numFmtId="165" fontId="9" fillId="0" borderId="1" applyAlignment="1" pivotButton="0" quotePrefix="0" xfId="21">
      <alignment horizontal="center" vertical="center"/>
    </xf>
    <xf numFmtId="0" fontId="14" fillId="0" borderId="1" applyAlignment="1" pivotButton="0" quotePrefix="0" xfId="21">
      <alignment horizontal="center" vertical="bottom"/>
    </xf>
    <xf numFmtId="4" fontId="4" fillId="0" borderId="0" applyAlignment="1" pivotButton="0" quotePrefix="0" xfId="20">
      <alignment horizontal="right" vertical="bottom"/>
    </xf>
    <xf numFmtId="164" fontId="4" fillId="0" borderId="0" applyAlignment="1" pivotButton="0" quotePrefix="0" xfId="17">
      <alignment horizontal="right" vertical="bottom"/>
    </xf>
    <xf numFmtId="165" fontId="9" fillId="0" borderId="1" applyAlignment="1" pivotButton="0" quotePrefix="0" xfId="21">
      <alignment horizontal="center" vertical="center" wrapText="1"/>
    </xf>
    <xf numFmtId="0" fontId="26" fillId="0" borderId="1" applyAlignment="1" pivotButton="0" quotePrefix="0" xfId="21">
      <alignment horizontal="center" vertical="center" wrapText="1"/>
    </xf>
    <xf numFmtId="4" fontId="10" fillId="0" borderId="0" applyAlignment="1" pivotButton="0" quotePrefix="0" xfId="20">
      <alignment horizontal="left" vertical="center" wrapText="1"/>
    </xf>
    <xf numFmtId="164" fontId="10" fillId="0" borderId="0" applyAlignment="1" pivotButton="0" quotePrefix="0" xfId="17">
      <alignment horizontal="left" vertical="center" wrapText="1"/>
    </xf>
    <xf numFmtId="165" fontId="9" fillId="0" borderId="6" applyAlignment="1" pivotButton="0" quotePrefix="0" xfId="21">
      <alignment horizontal="center" vertical="center" wrapText="1"/>
    </xf>
    <xf numFmtId="0" fontId="26" fillId="0" borderId="1" applyAlignment="1" pivotButton="0" quotePrefix="0" xfId="21">
      <alignment horizontal="center" vertical="bottom"/>
    </xf>
    <xf numFmtId="0" fontId="9" fillId="0" borderId="6" applyAlignment="1" pivotButton="0" quotePrefix="0" xfId="21">
      <alignment horizontal="center" vertical="center"/>
    </xf>
    <xf numFmtId="0" fontId="27" fillId="2" borderId="0" applyAlignment="1" pivotButton="0" quotePrefix="0" xfId="0">
      <alignment horizontal="left" vertical="top"/>
    </xf>
    <xf numFmtId="0" fontId="16" fillId="0" borderId="0" applyAlignment="1" pivotButton="0" quotePrefix="0" xfId="0">
      <alignment horizontal="left" vertical="bottom"/>
    </xf>
    <xf numFmtId="0" fontId="28" fillId="0" borderId="0" applyAlignment="1" pivotButton="0" quotePrefix="0" xfId="0">
      <alignment horizontal="left" vertical="bottom"/>
    </xf>
    <xf numFmtId="0" fontId="9" fillId="0" borderId="0" applyAlignment="1" pivotButton="0" quotePrefix="0" xfId="0">
      <alignment horizontal="left" vertical="bottom"/>
    </xf>
    <xf numFmtId="4" fontId="9" fillId="0" borderId="0" applyAlignment="1" pivotButton="0" quotePrefix="0" xfId="0">
      <alignment horizontal="left" vertical="bottom"/>
    </xf>
    <xf numFmtId="164" fontId="9" fillId="0" borderId="0" applyAlignment="1" pivotButton="0" quotePrefix="0" xfId="17">
      <alignment horizontal="left" vertical="bottom"/>
    </xf>
    <xf numFmtId="0" fontId="9" fillId="0" borderId="0" applyAlignment="1" pivotButton="0" quotePrefix="0" xfId="0">
      <alignment horizontal="left" vertical="top"/>
    </xf>
    <xf numFmtId="0" fontId="16" fillId="0" borderId="0" applyAlignment="1" pivotButton="0" quotePrefix="0" xfId="0">
      <alignment horizontal="general" vertical="bottom" wrapText="1"/>
    </xf>
    <xf numFmtId="0" fontId="16" fillId="0" borderId="0" applyAlignment="1" pivotButton="0" quotePrefix="0" xfId="0">
      <alignment horizontal="left" vertical="bottom" indent="8"/>
    </xf>
    <xf numFmtId="0" fontId="29" fillId="0" borderId="0" applyAlignment="1" pivotButton="0" quotePrefix="0" xfId="0">
      <alignment horizontal="left" vertical="bottom" indent="8"/>
    </xf>
    <xf numFmtId="0" fontId="9" fillId="0" borderId="0" applyAlignment="1" pivotButton="0" quotePrefix="0" xfId="0">
      <alignment horizontal="left" vertical="bottom" indent="8"/>
    </xf>
    <xf numFmtId="0" fontId="14" fillId="0" borderId="0" applyAlignment="1" pivotButton="0" quotePrefix="0" xfId="20">
      <alignment horizontal="left" vertical="bottom" indent="8"/>
    </xf>
    <xf numFmtId="0" fontId="8" fillId="0" borderId="0" applyAlignment="1" pivotButton="0" quotePrefix="0" xfId="0">
      <alignment horizontal="left" vertical="bottom" wrapText="1" indent="8"/>
    </xf>
    <xf numFmtId="4" fontId="9" fillId="0" borderId="0" applyAlignment="1" pivotButton="0" quotePrefix="0" xfId="0">
      <alignment horizontal="left" vertical="bottom" indent="8"/>
    </xf>
    <xf numFmtId="49" fontId="9" fillId="0" borderId="0" applyAlignment="1" pivotButton="0" quotePrefix="0" xfId="15">
      <alignment horizontal="left" vertical="bottom" indent="8"/>
    </xf>
    <xf numFmtId="165" fontId="9" fillId="0" borderId="0" applyAlignment="1" pivotButton="0" quotePrefix="0" xfId="0">
      <alignment horizontal="left" vertical="bottom" indent="8"/>
    </xf>
    <xf numFmtId="0" fontId="5" fillId="0" borderId="0" applyAlignment="1" pivotButton="0" quotePrefix="0" xfId="0">
      <alignment horizontal="left" vertical="center" indent="8"/>
    </xf>
    <xf numFmtId="0" fontId="5" fillId="0" borderId="0" applyAlignment="1" pivotButton="0" quotePrefix="0" xfId="0">
      <alignment horizontal="left" vertical="center" wrapText="1" indent="8"/>
    </xf>
    <xf numFmtId="0" fontId="5" fillId="0" borderId="0" applyAlignment="1" pivotButton="0" quotePrefix="0" xfId="0">
      <alignment horizontal="general" vertical="center" wrapText="1"/>
    </xf>
    <xf numFmtId="164" fontId="5" fillId="0" borderId="0" applyAlignment="1" pivotButton="0" quotePrefix="0" xfId="17">
      <alignment horizontal="general" vertical="center" wrapText="1"/>
    </xf>
    <xf numFmtId="0" fontId="5" fillId="0" borderId="7" applyAlignment="1" pivotButton="0" quotePrefix="0" xfId="0">
      <alignment horizontal="general" vertical="center"/>
    </xf>
    <xf numFmtId="0" fontId="5" fillId="0" borderId="8" applyAlignment="1" pivotButton="0" quotePrefix="0" xfId="0">
      <alignment horizontal="general" vertical="center"/>
    </xf>
    <xf numFmtId="164" fontId="6" fillId="0" borderId="9" applyAlignment="1" pivotButton="0" quotePrefix="0" xfId="17">
      <alignment horizontal="general" vertical="center"/>
    </xf>
    <xf numFmtId="0" fontId="5" fillId="0" borderId="10" applyAlignment="1" pivotButton="0" quotePrefix="0" xfId="0">
      <alignment horizontal="general" vertical="center"/>
    </xf>
    <xf numFmtId="0" fontId="5" fillId="0" borderId="11" applyAlignment="1" pivotButton="0" quotePrefix="0" xfId="0">
      <alignment horizontal="general" vertical="center"/>
    </xf>
    <xf numFmtId="164" fontId="6" fillId="0" borderId="12" applyAlignment="1" pivotButton="0" quotePrefix="0" xfId="17">
      <alignment horizontal="general" vertical="center"/>
    </xf>
    <xf numFmtId="166" fontId="5" fillId="0" borderId="11" applyAlignment="1" pivotButton="0" quotePrefix="0" xfId="19">
      <alignment horizontal="left" vertical="center"/>
    </xf>
    <xf numFmtId="0" fontId="6" fillId="0" borderId="2" applyAlignment="1" pivotButton="0" quotePrefix="0" xfId="0">
      <alignment horizontal="general" vertical="center"/>
    </xf>
    <xf numFmtId="0" fontId="5" fillId="0" borderId="3" applyAlignment="1" pivotButton="0" quotePrefix="0" xfId="0">
      <alignment horizontal="general" vertical="center"/>
    </xf>
    <xf numFmtId="164" fontId="6" fillId="0" borderId="4" applyAlignment="1" pivotButton="0" quotePrefix="0" xfId="0">
      <alignment horizontal="general" vertical="center"/>
    </xf>
    <xf numFmtId="0" fontId="30" fillId="0" borderId="0" applyAlignment="1" pivotButton="0" quotePrefix="0" xfId="0">
      <alignment horizontal="general" vertical="center"/>
    </xf>
    <xf numFmtId="0" fontId="5" fillId="0" borderId="6" applyAlignment="1" pivotButton="0" quotePrefix="0" xfId="0">
      <alignment horizontal="general" vertical="center"/>
    </xf>
    <xf numFmtId="0" fontId="5" fillId="0" borderId="13" applyAlignment="1" pivotButton="0" quotePrefix="0" xfId="0">
      <alignment horizontal="general" vertical="center"/>
    </xf>
    <xf numFmtId="164" fontId="6" fillId="0" borderId="1" applyAlignment="1" pivotButton="0" quotePrefix="0" xfId="0">
      <alignment horizontal="general" vertical="center"/>
    </xf>
    <xf numFmtId="164" fontId="5" fillId="0" borderId="0" applyAlignment="1" pivotButton="0" quotePrefix="0" xfId="0">
      <alignment horizontal="general" vertical="center"/>
    </xf>
    <xf numFmtId="0" fontId="31" fillId="0" borderId="14" applyAlignment="1" pivotButton="0" quotePrefix="0" xfId="0">
      <alignment horizontal="center" vertical="center"/>
    </xf>
    <xf numFmtId="0" fontId="32" fillId="4" borderId="15" applyAlignment="1" pivotButton="0" quotePrefix="0" xfId="0">
      <alignment horizontal="center" vertical="center"/>
    </xf>
    <xf numFmtId="0" fontId="33" fillId="0" borderId="0" applyAlignment="1" pivotButton="0" quotePrefix="0" xfId="0">
      <alignment horizontal="general" vertical="center"/>
    </xf>
    <xf numFmtId="164" fontId="33" fillId="0" borderId="0" applyAlignment="1" pivotButton="0" quotePrefix="0" xfId="17">
      <alignment horizontal="general" vertical="center"/>
    </xf>
    <xf numFmtId="0" fontId="6" fillId="0" borderId="16" applyAlignment="1" pivotButton="0" quotePrefix="0" xfId="0">
      <alignment horizontal="general" vertical="center"/>
    </xf>
    <xf numFmtId="0" fontId="6" fillId="0" borderId="17" applyAlignment="1" pivotButton="0" quotePrefix="0" xfId="0">
      <alignment horizontal="general" vertical="center"/>
    </xf>
    <xf numFmtId="0" fontId="6" fillId="0" borderId="18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167" fontId="5" fillId="0" borderId="7" applyAlignment="1" pivotButton="0" quotePrefix="0" xfId="17">
      <alignment horizontal="general" vertical="center"/>
    </xf>
    <xf numFmtId="167" fontId="6" fillId="0" borderId="9" applyAlignment="1" pivotButton="0" quotePrefix="0" xfId="17">
      <alignment horizontal="right" vertical="center"/>
    </xf>
    <xf numFmtId="168" fontId="5" fillId="0" borderId="0" applyAlignment="1" pivotButton="0" quotePrefix="0" xfId="19">
      <alignment horizontal="general" vertical="center"/>
    </xf>
    <xf numFmtId="167" fontId="5" fillId="0" borderId="10" applyAlignment="1" pivotButton="0" quotePrefix="0" xfId="17">
      <alignment horizontal="general" vertical="center"/>
    </xf>
    <xf numFmtId="167" fontId="6" fillId="0" borderId="12" applyAlignment="1" pivotButton="0" quotePrefix="0" xfId="17">
      <alignment horizontal="right" vertical="center"/>
    </xf>
    <xf numFmtId="0" fontId="6" fillId="0" borderId="3" applyAlignment="1" pivotButton="0" quotePrefix="0" xfId="0">
      <alignment horizontal="general" vertical="center"/>
    </xf>
    <xf numFmtId="167" fontId="5" fillId="0" borderId="2" applyAlignment="1" pivotButton="0" quotePrefix="0" xfId="17">
      <alignment horizontal="general" vertical="center"/>
    </xf>
    <xf numFmtId="167" fontId="6" fillId="0" borderId="4" applyAlignment="1" pivotButton="0" quotePrefix="0" xfId="17">
      <alignment horizontal="right" vertical="center"/>
    </xf>
    <xf numFmtId="0" fontId="9" fillId="0" borderId="6" applyAlignment="1" pivotButton="0" quotePrefix="0" xfId="0">
      <alignment horizontal="general" vertical="center"/>
    </xf>
    <xf numFmtId="168" fontId="9" fillId="0" borderId="13" applyAlignment="1" pivotButton="0" quotePrefix="0" xfId="19">
      <alignment horizontal="left" vertical="center"/>
    </xf>
    <xf numFmtId="167" fontId="6" fillId="0" borderId="1" applyAlignment="1" pivotButton="0" quotePrefix="0" xfId="0">
      <alignment horizontal="general" vertical="center"/>
    </xf>
    <xf numFmtId="167" fontId="5" fillId="0" borderId="4" applyAlignment="1" pivotButton="0" quotePrefix="0" xfId="17">
      <alignment horizontal="right" vertical="center"/>
    </xf>
    <xf numFmtId="0" fontId="6" fillId="0" borderId="6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34" fillId="0" borderId="7" applyAlignment="1" pivotButton="0" quotePrefix="0" xfId="0">
      <alignment horizontal="general" vertical="center"/>
    </xf>
    <xf numFmtId="168" fontId="35" fillId="0" borderId="8" applyAlignment="1" pivotButton="0" quotePrefix="0" xfId="19">
      <alignment horizontal="left" vertical="center" wrapText="1"/>
    </xf>
    <xf numFmtId="167" fontId="5" fillId="0" borderId="7" applyAlignment="1" pivotButton="0" quotePrefix="0" xfId="0">
      <alignment horizontal="right" vertical="center"/>
    </xf>
    <xf numFmtId="168" fontId="9" fillId="0" borderId="8" applyAlignment="1" pivotButton="0" quotePrefix="0" xfId="19">
      <alignment horizontal="left" vertical="center" wrapText="1"/>
    </xf>
    <xf numFmtId="167" fontId="6" fillId="0" borderId="6" applyAlignment="1" pivotButton="0" quotePrefix="0" xfId="0">
      <alignment horizontal="general" vertical="center"/>
    </xf>
    <xf numFmtId="167" fontId="5" fillId="0" borderId="0" applyAlignment="1" pivotButton="0" quotePrefix="0" xfId="0">
      <alignment horizontal="general" vertical="center"/>
    </xf>
    <xf numFmtId="4" fontId="5" fillId="0" borderId="0" applyAlignment="1" pivotButton="0" quotePrefix="0" xfId="0">
      <alignment horizontal="general" vertical="center"/>
    </xf>
    <xf numFmtId="4" fontId="31" fillId="0" borderId="0" applyAlignment="1" pivotButton="0" quotePrefix="0" xfId="0">
      <alignment horizontal="right" vertical="center"/>
    </xf>
    <xf numFmtId="0" fontId="36" fillId="0" borderId="0" applyAlignment="1" pivotButton="0" quotePrefix="0" xfId="0">
      <alignment horizontal="general" vertical="center"/>
    </xf>
    <xf numFmtId="0" fontId="33" fillId="5" borderId="19" applyAlignment="1" pivotButton="0" quotePrefix="0" xfId="0">
      <alignment horizontal="right" vertical="center"/>
    </xf>
    <xf numFmtId="0" fontId="33" fillId="5" borderId="20" applyAlignment="1" pivotButton="0" quotePrefix="0" xfId="0">
      <alignment horizontal="right" vertical="center"/>
    </xf>
    <xf numFmtId="167" fontId="33" fillId="5" borderId="21" applyAlignment="1" pivotButton="0" quotePrefix="0" xfId="0">
      <alignment horizontal="center" vertical="center"/>
    </xf>
    <xf numFmtId="0" fontId="36" fillId="0" borderId="0" applyAlignment="1" pivotButton="0" quotePrefix="0" xfId="0">
      <alignment horizontal="general" vertical="center" wrapText="1"/>
    </xf>
    <xf numFmtId="4" fontId="37" fillId="6" borderId="1" applyAlignment="1" pivotButton="0" quotePrefix="0" xfId="0">
      <alignment horizontal="right" vertical="center"/>
    </xf>
    <xf numFmtId="164" fontId="30" fillId="0" borderId="1" applyAlignment="1" pivotButton="0" quotePrefix="0" xfId="17">
      <alignment horizontal="general" vertical="center"/>
    </xf>
    <xf numFmtId="169" fontId="30" fillId="0" borderId="1" applyAlignment="1" pivotButton="0" quotePrefix="0" xfId="17">
      <alignment horizontal="general" vertical="center"/>
    </xf>
    <xf numFmtId="164" fontId="5" fillId="0" borderId="1" applyAlignment="1" pivotButton="0" quotePrefix="0" xfId="17">
      <alignment horizontal="general" vertical="center"/>
    </xf>
    <xf numFmtId="164" fontId="30" fillId="0" borderId="1" applyAlignment="1" pivotButton="0" quotePrefix="0" xfId="17">
      <alignment horizontal="right" vertical="center"/>
    </xf>
    <xf numFmtId="0" fontId="38" fillId="0" borderId="0" applyAlignment="1" pivotButton="0" quotePrefix="0" xfId="0">
      <alignment horizontal="general" vertical="center"/>
    </xf>
    <xf numFmtId="4" fontId="37" fillId="0" borderId="0" applyAlignment="1" pivotButton="0" quotePrefix="0" xfId="0">
      <alignment horizontal="right" vertical="center"/>
    </xf>
    <xf numFmtId="167" fontId="6" fillId="0" borderId="0" applyAlignment="1" pivotButton="0" quotePrefix="0" xfId="0">
      <alignment horizontal="general" vertical="center"/>
    </xf>
    <xf numFmtId="0" fontId="38" fillId="0" borderId="18" applyAlignment="1" pivotButton="0" quotePrefix="0" xfId="0">
      <alignment horizontal="right" vertical="center"/>
    </xf>
    <xf numFmtId="165" fontId="38" fillId="0" borderId="18" applyAlignment="1" pivotButton="0" quotePrefix="0" xfId="0">
      <alignment horizontal="left" vertical="center"/>
    </xf>
    <xf numFmtId="0" fontId="39" fillId="0" borderId="0" applyAlignment="1" pivotButton="0" quotePrefix="0" xfId="0">
      <alignment horizontal="general" vertical="center"/>
    </xf>
    <xf numFmtId="0" fontId="40" fillId="0" borderId="7" applyAlignment="1" pivotButton="0" quotePrefix="0" xfId="0">
      <alignment horizontal="general" vertical="center"/>
    </xf>
    <xf numFmtId="4" fontId="5" fillId="0" borderId="8" applyAlignment="1" pivotButton="0" quotePrefix="0" xfId="0">
      <alignment horizontal="general" vertical="center"/>
    </xf>
    <xf numFmtId="0" fontId="40" fillId="0" borderId="0" applyAlignment="1" pivotButton="0" quotePrefix="0" xfId="0">
      <alignment horizontal="general" vertical="center"/>
    </xf>
    <xf numFmtId="4" fontId="5" fillId="0" borderId="11" applyAlignment="1" pivotButton="0" quotePrefix="0" xfId="0">
      <alignment horizontal="general" vertical="center"/>
    </xf>
    <xf numFmtId="0" fontId="5" fillId="0" borderId="2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164" fontId="5" fillId="0" borderId="0" applyAlignment="1" pivotButton="0" quotePrefix="0" xfId="17">
      <alignment horizontal="general" vertical="center"/>
    </xf>
    <xf numFmtId="0" fontId="0" fillId="0" borderId="0" pivotButton="0" quotePrefix="0" xfId="0"/>
    <xf numFmtId="0" fontId="6" fillId="0" borderId="1" applyAlignment="1" pivotButton="0" quotePrefix="0" xfId="0">
      <alignment horizontal="general" vertical="center"/>
    </xf>
    <xf numFmtId="0" fontId="7" fillId="0" borderId="1" applyAlignment="1" pivotButton="0" quotePrefix="0" xfId="0">
      <alignment horizontal="general" vertical="center"/>
    </xf>
    <xf numFmtId="4" fontId="8" fillId="0" borderId="1" applyAlignment="1" pivotButton="0" quotePrefix="0" xfId="20">
      <alignment horizontal="left" vertical="bottom"/>
    </xf>
    <xf numFmtId="3" fontId="8" fillId="0" borderId="1" applyAlignment="1" pivotButton="0" quotePrefix="0" xfId="20">
      <alignment horizontal="center" vertical="bottom"/>
    </xf>
    <xf numFmtId="3" fontId="8" fillId="0" borderId="1" applyAlignment="1" pivotButton="0" quotePrefix="0" xfId="20">
      <alignment horizontal="right" vertical="bottom"/>
    </xf>
    <xf numFmtId="165" fontId="8" fillId="0" borderId="1" applyAlignment="1" pivotButton="0" quotePrefix="0" xfId="20">
      <alignment horizontal="right" vertical="bottom"/>
    </xf>
    <xf numFmtId="4" fontId="9" fillId="0" borderId="1" applyAlignment="1" pivotButton="0" quotePrefix="0" xfId="20">
      <alignment horizontal="left" vertical="bottom"/>
    </xf>
    <xf numFmtId="164" fontId="8" fillId="0" borderId="1" applyAlignment="1" pivotButton="0" quotePrefix="0" xfId="17">
      <alignment horizontal="right" vertical="bottom"/>
    </xf>
    <xf numFmtId="164" fontId="10" fillId="0" borderId="0" applyAlignment="1" pivotButton="0" quotePrefix="0" xfId="17">
      <alignment horizontal="left" vertical="bottom"/>
    </xf>
    <xf numFmtId="4" fontId="8" fillId="0" borderId="1" applyAlignment="1" pivotButton="0" quotePrefix="0" xfId="20">
      <alignment horizontal="left" vertical="bottom" wrapText="1"/>
    </xf>
    <xf numFmtId="4" fontId="11" fillId="0" borderId="0" applyAlignment="1" pivotButton="0" quotePrefix="0" xfId="20">
      <alignment horizontal="left" vertical="bottom"/>
    </xf>
    <xf numFmtId="4" fontId="10" fillId="0" borderId="0" applyAlignment="1" pivotButton="0" quotePrefix="0" xfId="20">
      <alignment horizontal="left" vertical="bottom"/>
    </xf>
    <xf numFmtId="164" fontId="9" fillId="0" borderId="1" applyAlignment="1" pivotButton="0" quotePrefix="0" xfId="17">
      <alignment horizontal="right" vertical="bottom"/>
    </xf>
    <xf numFmtId="4" fontId="12" fillId="0" borderId="0" applyAlignment="1" pivotButton="0" quotePrefix="0" xfId="20">
      <alignment horizontal="right" vertical="bottom"/>
    </xf>
    <xf numFmtId="4" fontId="13" fillId="2" borderId="0" applyAlignment="1" pivotButton="0" quotePrefix="0" xfId="20">
      <alignment horizontal="left" vertical="top"/>
    </xf>
    <xf numFmtId="4" fontId="10" fillId="0" borderId="0" applyAlignment="1" pivotButton="0" quotePrefix="0" xfId="20">
      <alignment horizontal="right" vertical="bottom"/>
    </xf>
    <xf numFmtId="0" fontId="14" fillId="0" borderId="0" applyAlignment="1" pivotButton="0" quotePrefix="0" xfId="0">
      <alignment horizontal="general" vertical="bottom" wrapText="1"/>
    </xf>
    <xf numFmtId="4" fontId="15" fillId="0" borderId="0" applyAlignment="1" pivotButton="0" quotePrefix="0" xfId="20">
      <alignment horizontal="left" vertical="top"/>
    </xf>
    <xf numFmtId="0" fontId="16" fillId="0" borderId="0" applyAlignment="1" pivotButton="0" quotePrefix="0" xfId="0">
      <alignment horizontal="left" vertical="bottom" wrapText="1" indent="8"/>
    </xf>
    <xf numFmtId="4" fontId="17" fillId="0" borderId="0" applyAlignment="1" pivotButton="0" quotePrefix="0" xfId="20">
      <alignment horizontal="left" vertical="top" wrapText="1"/>
    </xf>
    <xf numFmtId="0" fontId="14" fillId="0" borderId="0" applyAlignment="1" pivotButton="0" quotePrefix="0" xfId="0">
      <alignment horizontal="general" vertical="bottom"/>
    </xf>
    <xf numFmtId="4" fontId="17" fillId="0" borderId="0" applyAlignment="1" pivotButton="0" quotePrefix="0" xfId="20">
      <alignment horizontal="left" vertical="bottom"/>
    </xf>
    <xf numFmtId="4" fontId="17" fillId="0" borderId="0" applyAlignment="1" pivotButton="0" quotePrefix="0" xfId="20">
      <alignment horizontal="right" vertical="bottom"/>
    </xf>
    <xf numFmtId="164" fontId="18" fillId="0" borderId="0" applyAlignment="1" pivotButton="0" quotePrefix="0" xfId="17">
      <alignment horizontal="general" vertical="bottom" wrapText="1"/>
    </xf>
    <xf numFmtId="4" fontId="15" fillId="0" borderId="0" applyAlignment="1" pivotButton="0" quotePrefix="0" xfId="20">
      <alignment horizontal="left" vertical="bottom"/>
    </xf>
    <xf numFmtId="0" fontId="14" fillId="0" borderId="0" applyAlignment="1" pivotButton="0" quotePrefix="0" xfId="20">
      <alignment horizontal="left" vertical="bottom"/>
    </xf>
    <xf numFmtId="164" fontId="18" fillId="0" borderId="0" applyAlignment="1" pivotButton="0" quotePrefix="0" xfId="17">
      <alignment horizontal="general" vertical="bottom"/>
    </xf>
    <xf numFmtId="164" fontId="14" fillId="0" borderId="0" applyAlignment="1" pivotButton="0" quotePrefix="0" xfId="17">
      <alignment horizontal="general" vertical="bottom"/>
    </xf>
    <xf numFmtId="4" fontId="19" fillId="0" borderId="0" applyAlignment="1" pivotButton="0" quotePrefix="0" xfId="20">
      <alignment horizontal="left" vertical="bottom"/>
    </xf>
    <xf numFmtId="164" fontId="20" fillId="0" borderId="0" applyAlignment="1" pivotButton="0" quotePrefix="0" xfId="17">
      <alignment horizontal="left" vertical="bottom"/>
    </xf>
    <xf numFmtId="164" fontId="14" fillId="0" borderId="0" applyAlignment="1" pivotButton="0" quotePrefix="0" xfId="17">
      <alignment horizontal="center" vertical="bottom"/>
    </xf>
    <xf numFmtId="0" fontId="14" fillId="0" borderId="0" applyAlignment="1" pivotButton="0" quotePrefix="0" xfId="21">
      <alignment horizontal="general" vertical="bottom"/>
    </xf>
    <xf numFmtId="0" fontId="14" fillId="0" borderId="1" applyAlignment="1" pivotButton="0" quotePrefix="0" xfId="21">
      <alignment horizontal="center" vertical="center"/>
    </xf>
    <xf numFmtId="3" fontId="21" fillId="0" borderId="1" applyAlignment="1" pivotButton="0" quotePrefix="0" xfId="21">
      <alignment horizontal="center" vertical="center"/>
    </xf>
    <xf numFmtId="4" fontId="22" fillId="0" borderId="0" applyAlignment="1" pivotButton="0" quotePrefix="0" xfId="20">
      <alignment horizontal="left" vertical="bottom"/>
    </xf>
    <xf numFmtId="0" fontId="23" fillId="0" borderId="0" applyAlignment="1" pivotButton="0" quotePrefix="0" xfId="21">
      <alignment horizontal="general" vertical="center"/>
    </xf>
    <xf numFmtId="0" fontId="14" fillId="0" borderId="0" applyAlignment="1" pivotButton="0" quotePrefix="0" xfId="21">
      <alignment horizontal="general" vertical="center"/>
    </xf>
    <xf numFmtId="0" fontId="16" fillId="3" borderId="1" applyAlignment="1" pivotButton="0" quotePrefix="0" xfId="21">
      <alignment horizontal="left" vertical="center"/>
    </xf>
    <xf numFmtId="0" fontId="0" fillId="0" borderId="13" pivotButton="0" quotePrefix="0" xfId="0"/>
    <xf numFmtId="0" fontId="16" fillId="3" borderId="1" applyAlignment="1" pivotButton="0" quotePrefix="0" xfId="21">
      <alignment horizontal="left" vertical="center" indent="1"/>
    </xf>
    <xf numFmtId="4" fontId="13" fillId="0" borderId="2" applyAlignment="1" pivotButton="0" quotePrefix="0" xfId="21">
      <alignment horizontal="left" vertical="center" indent="1"/>
    </xf>
    <xf numFmtId="0" fontId="24" fillId="0" borderId="3" applyAlignment="1" pivotButton="0" quotePrefix="0" xfId="21">
      <alignment horizontal="left" vertical="center" indent="1"/>
    </xf>
    <xf numFmtId="4" fontId="25" fillId="0" borderId="1" applyAlignment="1" pivotButton="0" quotePrefix="0" xfId="21">
      <alignment horizontal="center" vertical="center" wrapText="1"/>
    </xf>
    <xf numFmtId="3" fontId="24" fillId="0" borderId="4" applyAlignment="1" pivotButton="0" quotePrefix="0" xfId="21">
      <alignment horizontal="center" vertical="center" wrapText="1"/>
    </xf>
    <xf numFmtId="0" fontId="14" fillId="0" borderId="5" applyAlignment="1" pivotButton="0" quotePrefix="0" xfId="21">
      <alignment horizontal="left" vertical="center" indent="1"/>
    </xf>
    <xf numFmtId="0" fontId="14" fillId="0" borderId="5" applyAlignment="1" pivotButton="0" quotePrefix="0" xfId="21">
      <alignment horizontal="general" vertical="center"/>
    </xf>
    <xf numFmtId="0" fontId="14" fillId="0" borderId="5" applyAlignment="1" pivotButton="0" quotePrefix="0" xfId="21">
      <alignment horizontal="general" vertical="center" wrapText="1"/>
    </xf>
    <xf numFmtId="0" fontId="14" fillId="0" borderId="6" applyAlignment="1" pivotButton="0" quotePrefix="0" xfId="21">
      <alignment horizontal="left" vertical="center" indent="1"/>
    </xf>
    <xf numFmtId="0" fontId="14" fillId="0" borderId="6" applyAlignment="1" pivotButton="0" quotePrefix="0" xfId="21">
      <alignment horizontal="center" vertical="center"/>
    </xf>
    <xf numFmtId="0" fontId="17" fillId="0" borderId="6" applyAlignment="1" pivotButton="0" quotePrefix="0" xfId="21">
      <alignment horizontal="left" vertical="center" indent="1"/>
    </xf>
    <xf numFmtId="0" fontId="17" fillId="0" borderId="5" applyAlignment="1" pivotButton="0" quotePrefix="0" xfId="21">
      <alignment horizontal="left" vertical="center" indent="1"/>
    </xf>
    <xf numFmtId="165" fontId="9" fillId="0" borderId="1" applyAlignment="1" pivotButton="0" quotePrefix="0" xfId="21">
      <alignment horizontal="center" vertical="center"/>
    </xf>
    <xf numFmtId="0" fontId="14" fillId="0" borderId="1" applyAlignment="1" pivotButton="0" quotePrefix="0" xfId="21">
      <alignment horizontal="center" vertical="bottom"/>
    </xf>
    <xf numFmtId="4" fontId="4" fillId="0" borderId="0" applyAlignment="1" pivotButton="0" quotePrefix="0" xfId="20">
      <alignment horizontal="right" vertical="bottom"/>
    </xf>
    <xf numFmtId="164" fontId="4" fillId="0" borderId="0" applyAlignment="1" pivotButton="0" quotePrefix="0" xfId="17">
      <alignment horizontal="right" vertical="bottom"/>
    </xf>
    <xf numFmtId="165" fontId="9" fillId="0" borderId="1" applyAlignment="1" pivotButton="0" quotePrefix="0" xfId="21">
      <alignment horizontal="center" vertical="center" wrapText="1"/>
    </xf>
    <xf numFmtId="0" fontId="26" fillId="0" borderId="1" applyAlignment="1" pivotButton="0" quotePrefix="0" xfId="21">
      <alignment horizontal="center" vertical="center" wrapText="1"/>
    </xf>
    <xf numFmtId="4" fontId="10" fillId="0" borderId="0" applyAlignment="1" pivotButton="0" quotePrefix="0" xfId="20">
      <alignment horizontal="left" vertical="center" wrapText="1"/>
    </xf>
    <xf numFmtId="164" fontId="10" fillId="0" borderId="0" applyAlignment="1" pivotButton="0" quotePrefix="0" xfId="17">
      <alignment horizontal="left" vertical="center" wrapText="1"/>
    </xf>
    <xf numFmtId="165" fontId="9" fillId="0" borderId="6" applyAlignment="1" pivotButton="0" quotePrefix="0" xfId="21">
      <alignment horizontal="center" vertical="center" wrapText="1"/>
    </xf>
    <xf numFmtId="0" fontId="26" fillId="0" borderId="1" applyAlignment="1" pivotButton="0" quotePrefix="0" xfId="21">
      <alignment horizontal="center" vertical="bottom"/>
    </xf>
    <xf numFmtId="0" fontId="9" fillId="0" borderId="6" applyAlignment="1" pivotButton="0" quotePrefix="0" xfId="21">
      <alignment horizontal="center" vertical="center"/>
    </xf>
    <xf numFmtId="0" fontId="27" fillId="2" borderId="0" applyAlignment="1" pivotButton="0" quotePrefix="0" xfId="0">
      <alignment horizontal="left" vertical="top"/>
    </xf>
    <xf numFmtId="0" fontId="16" fillId="0" borderId="0" applyAlignment="1" pivotButton="0" quotePrefix="0" xfId="0">
      <alignment horizontal="left" vertical="bottom"/>
    </xf>
    <xf numFmtId="0" fontId="28" fillId="0" borderId="0" applyAlignment="1" pivotButton="0" quotePrefix="0" xfId="0">
      <alignment horizontal="left" vertical="bottom"/>
    </xf>
    <xf numFmtId="0" fontId="9" fillId="0" borderId="0" applyAlignment="1" pivotButton="0" quotePrefix="0" xfId="0">
      <alignment horizontal="left" vertical="bottom"/>
    </xf>
    <xf numFmtId="4" fontId="9" fillId="0" borderId="0" applyAlignment="1" pivotButton="0" quotePrefix="0" xfId="0">
      <alignment horizontal="left" vertical="bottom"/>
    </xf>
    <xf numFmtId="164" fontId="9" fillId="0" borderId="0" applyAlignment="1" pivotButton="0" quotePrefix="0" xfId="17">
      <alignment horizontal="left" vertical="bottom"/>
    </xf>
    <xf numFmtId="0" fontId="9" fillId="0" borderId="0" applyAlignment="1" pivotButton="0" quotePrefix="0" xfId="0">
      <alignment horizontal="left" vertical="top"/>
    </xf>
    <xf numFmtId="0" fontId="16" fillId="0" borderId="0" applyAlignment="1" pivotButton="0" quotePrefix="0" xfId="0">
      <alignment horizontal="general" vertical="bottom" wrapText="1"/>
    </xf>
    <xf numFmtId="0" fontId="16" fillId="0" borderId="0" applyAlignment="1" pivotButton="0" quotePrefix="0" xfId="0">
      <alignment horizontal="left" vertical="bottom" indent="8"/>
    </xf>
    <xf numFmtId="0" fontId="29" fillId="0" borderId="0" applyAlignment="1" pivotButton="0" quotePrefix="0" xfId="0">
      <alignment horizontal="left" vertical="bottom" indent="8"/>
    </xf>
    <xf numFmtId="0" fontId="9" fillId="0" borderId="0" applyAlignment="1" pivotButton="0" quotePrefix="0" xfId="0">
      <alignment horizontal="left" vertical="bottom" indent="8"/>
    </xf>
    <xf numFmtId="0" fontId="14" fillId="0" borderId="0" applyAlignment="1" pivotButton="0" quotePrefix="0" xfId="20">
      <alignment horizontal="left" vertical="bottom" indent="8"/>
    </xf>
    <xf numFmtId="0" fontId="8" fillId="0" borderId="0" applyAlignment="1" pivotButton="0" quotePrefix="0" xfId="0">
      <alignment horizontal="left" vertical="bottom" wrapText="1" indent="8"/>
    </xf>
    <xf numFmtId="4" fontId="9" fillId="0" borderId="0" applyAlignment="1" pivotButton="0" quotePrefix="0" xfId="0">
      <alignment horizontal="left" vertical="bottom" indent="8"/>
    </xf>
    <xf numFmtId="49" fontId="9" fillId="0" borderId="0" applyAlignment="1" pivotButton="0" quotePrefix="0" xfId="15">
      <alignment horizontal="left" vertical="bottom" indent="8"/>
    </xf>
    <xf numFmtId="165" fontId="9" fillId="0" borderId="0" applyAlignment="1" pivotButton="0" quotePrefix="0" xfId="0">
      <alignment horizontal="left" vertical="bottom" indent="8"/>
    </xf>
    <xf numFmtId="0" fontId="5" fillId="0" borderId="0" applyAlignment="1" pivotButton="0" quotePrefix="0" xfId="0">
      <alignment horizontal="left" vertical="center" indent="8"/>
    </xf>
    <xf numFmtId="0" fontId="5" fillId="0" borderId="0" applyAlignment="1" pivotButton="0" quotePrefix="0" xfId="0">
      <alignment horizontal="left" vertical="center" wrapText="1" indent="8"/>
    </xf>
    <xf numFmtId="0" fontId="5" fillId="0" borderId="0" applyAlignment="1" pivotButton="0" quotePrefix="0" xfId="0">
      <alignment horizontal="general" vertical="center" wrapText="1"/>
    </xf>
    <xf numFmtId="164" fontId="5" fillId="0" borderId="0" applyAlignment="1" pivotButton="0" quotePrefix="0" xfId="17">
      <alignment horizontal="general" vertical="center" wrapText="1"/>
    </xf>
    <xf numFmtId="0" fontId="5" fillId="0" borderId="7" applyAlignment="1" pivotButton="0" quotePrefix="0" xfId="0">
      <alignment horizontal="general" vertical="center"/>
    </xf>
    <xf numFmtId="0" fontId="5" fillId="0" borderId="8" applyAlignment="1" pivotButton="0" quotePrefix="0" xfId="0">
      <alignment horizontal="general" vertical="center"/>
    </xf>
    <xf numFmtId="164" fontId="6" fillId="0" borderId="9" applyAlignment="1" pivotButton="0" quotePrefix="0" xfId="17">
      <alignment horizontal="general" vertical="center"/>
    </xf>
    <xf numFmtId="0" fontId="5" fillId="0" borderId="10" applyAlignment="1" pivotButton="0" quotePrefix="0" xfId="0">
      <alignment horizontal="general" vertical="center"/>
    </xf>
    <xf numFmtId="0" fontId="5" fillId="0" borderId="11" applyAlignment="1" pivotButton="0" quotePrefix="0" xfId="0">
      <alignment horizontal="general" vertical="center"/>
    </xf>
    <xf numFmtId="164" fontId="6" fillId="0" borderId="12" applyAlignment="1" pivotButton="0" quotePrefix="0" xfId="17">
      <alignment horizontal="general" vertical="center"/>
    </xf>
    <xf numFmtId="166" fontId="5" fillId="0" borderId="11" applyAlignment="1" pivotButton="0" quotePrefix="0" xfId="19">
      <alignment horizontal="left" vertical="center"/>
    </xf>
    <xf numFmtId="0" fontId="6" fillId="0" borderId="2" applyAlignment="1" pivotButton="0" quotePrefix="0" xfId="0">
      <alignment horizontal="general" vertical="center"/>
    </xf>
    <xf numFmtId="0" fontId="5" fillId="0" borderId="3" applyAlignment="1" pivotButton="0" quotePrefix="0" xfId="0">
      <alignment horizontal="general" vertical="center"/>
    </xf>
    <xf numFmtId="164" fontId="6" fillId="0" borderId="4" applyAlignment="1" pivotButton="0" quotePrefix="0" xfId="0">
      <alignment horizontal="general" vertical="center"/>
    </xf>
    <xf numFmtId="0" fontId="30" fillId="0" borderId="0" applyAlignment="1" pivotButton="0" quotePrefix="0" xfId="0">
      <alignment horizontal="general" vertical="center"/>
    </xf>
    <xf numFmtId="0" fontId="5" fillId="0" borderId="6" applyAlignment="1" pivotButton="0" quotePrefix="0" xfId="0">
      <alignment horizontal="general" vertical="center"/>
    </xf>
    <xf numFmtId="0" fontId="5" fillId="0" borderId="13" applyAlignment="1" pivotButton="0" quotePrefix="0" xfId="0">
      <alignment horizontal="general" vertical="center"/>
    </xf>
    <xf numFmtId="164" fontId="6" fillId="0" borderId="1" applyAlignment="1" pivotButton="0" quotePrefix="0" xfId="0">
      <alignment horizontal="general" vertical="center"/>
    </xf>
    <xf numFmtId="164" fontId="5" fillId="0" borderId="0" applyAlignment="1" pivotButton="0" quotePrefix="0" xfId="0">
      <alignment horizontal="general" vertical="center"/>
    </xf>
    <xf numFmtId="0" fontId="31" fillId="0" borderId="14" applyAlignment="1" pivotButton="0" quotePrefix="0" xfId="0">
      <alignment horizontal="center" vertical="center"/>
    </xf>
    <xf numFmtId="0" fontId="0" fillId="0" borderId="14" pivotButton="0" quotePrefix="0" xfId="0"/>
    <xf numFmtId="0" fontId="32" fillId="4" borderId="15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0" fontId="33" fillId="0" borderId="0" applyAlignment="1" pivotButton="0" quotePrefix="0" xfId="0">
      <alignment horizontal="general" vertical="center"/>
    </xf>
    <xf numFmtId="164" fontId="33" fillId="0" borderId="0" applyAlignment="1" pivotButton="0" quotePrefix="0" xfId="17">
      <alignment horizontal="general" vertical="center"/>
    </xf>
    <xf numFmtId="0" fontId="6" fillId="0" borderId="16" applyAlignment="1" pivotButton="0" quotePrefix="0" xfId="0">
      <alignment horizontal="general" vertical="center"/>
    </xf>
    <xf numFmtId="0" fontId="6" fillId="0" borderId="17" applyAlignment="1" pivotButton="0" quotePrefix="0" xfId="0">
      <alignment horizontal="general" vertical="center"/>
    </xf>
    <xf numFmtId="0" fontId="6" fillId="0" borderId="18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167" fontId="5" fillId="0" borderId="7" applyAlignment="1" pivotButton="0" quotePrefix="0" xfId="17">
      <alignment horizontal="general" vertical="center"/>
    </xf>
    <xf numFmtId="167" fontId="6" fillId="0" borderId="9" applyAlignment="1" pivotButton="0" quotePrefix="0" xfId="17">
      <alignment horizontal="right" vertical="center"/>
    </xf>
    <xf numFmtId="168" fontId="5" fillId="0" borderId="0" applyAlignment="1" pivotButton="0" quotePrefix="0" xfId="19">
      <alignment horizontal="general" vertical="center"/>
    </xf>
    <xf numFmtId="167" fontId="5" fillId="0" borderId="10" applyAlignment="1" pivotButton="0" quotePrefix="0" xfId="17">
      <alignment horizontal="general" vertical="center"/>
    </xf>
    <xf numFmtId="167" fontId="6" fillId="0" borderId="12" applyAlignment="1" pivotButton="0" quotePrefix="0" xfId="17">
      <alignment horizontal="right" vertical="center"/>
    </xf>
    <xf numFmtId="0" fontId="6" fillId="0" borderId="3" applyAlignment="1" pivotButton="0" quotePrefix="0" xfId="0">
      <alignment horizontal="general" vertical="center"/>
    </xf>
    <xf numFmtId="167" fontId="5" fillId="0" borderId="2" applyAlignment="1" pivotButton="0" quotePrefix="0" xfId="17">
      <alignment horizontal="general" vertical="center"/>
    </xf>
    <xf numFmtId="167" fontId="6" fillId="0" borderId="4" applyAlignment="1" pivotButton="0" quotePrefix="0" xfId="17">
      <alignment horizontal="right" vertical="center"/>
    </xf>
    <xf numFmtId="0" fontId="9" fillId="0" borderId="6" applyAlignment="1" pivotButton="0" quotePrefix="0" xfId="0">
      <alignment horizontal="general" vertical="center"/>
    </xf>
    <xf numFmtId="168" fontId="9" fillId="0" borderId="13" applyAlignment="1" pivotButton="0" quotePrefix="0" xfId="19">
      <alignment horizontal="left" vertical="center"/>
    </xf>
    <xf numFmtId="167" fontId="6" fillId="0" borderId="1" applyAlignment="1" pivotButton="0" quotePrefix="0" xfId="0">
      <alignment horizontal="general" vertical="center"/>
    </xf>
    <xf numFmtId="167" fontId="5" fillId="0" borderId="4" applyAlignment="1" pivotButton="0" quotePrefix="0" xfId="17">
      <alignment horizontal="right" vertical="center"/>
    </xf>
    <xf numFmtId="0" fontId="6" fillId="0" borderId="6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34" fillId="0" borderId="7" applyAlignment="1" pivotButton="0" quotePrefix="0" xfId="0">
      <alignment horizontal="general" vertical="center"/>
    </xf>
    <xf numFmtId="168" fontId="35" fillId="0" borderId="8" applyAlignment="1" pivotButton="0" quotePrefix="0" xfId="19">
      <alignment horizontal="left" vertical="center" wrapText="1"/>
    </xf>
    <xf numFmtId="167" fontId="5" fillId="0" borderId="7" applyAlignment="1" pivotButton="0" quotePrefix="0" xfId="0">
      <alignment horizontal="right" vertical="center"/>
    </xf>
    <xf numFmtId="168" fontId="9" fillId="0" borderId="8" applyAlignment="1" pivotButton="0" quotePrefix="0" xfId="19">
      <alignment horizontal="left" vertical="center" wrapText="1"/>
    </xf>
    <xf numFmtId="167" fontId="6" fillId="0" borderId="6" applyAlignment="1" pivotButton="0" quotePrefix="0" xfId="0">
      <alignment horizontal="general" vertical="center"/>
    </xf>
    <xf numFmtId="167" fontId="5" fillId="0" borderId="0" applyAlignment="1" pivotButton="0" quotePrefix="0" xfId="0">
      <alignment horizontal="general" vertical="center"/>
    </xf>
    <xf numFmtId="4" fontId="5" fillId="0" borderId="0" applyAlignment="1" pivotButton="0" quotePrefix="0" xfId="0">
      <alignment horizontal="general" vertical="center"/>
    </xf>
    <xf numFmtId="4" fontId="31" fillId="0" borderId="0" applyAlignment="1" pivotButton="0" quotePrefix="0" xfId="0">
      <alignment horizontal="right" vertical="center"/>
    </xf>
    <xf numFmtId="0" fontId="36" fillId="0" borderId="0" applyAlignment="1" pivotButton="0" quotePrefix="0" xfId="0">
      <alignment horizontal="general" vertical="center"/>
    </xf>
    <xf numFmtId="0" fontId="33" fillId="5" borderId="19" applyAlignment="1" pivotButton="0" quotePrefix="0" xfId="0">
      <alignment horizontal="right" vertical="center"/>
    </xf>
    <xf numFmtId="0" fontId="33" fillId="5" borderId="20" applyAlignment="1" pivotButton="0" quotePrefix="0" xfId="0">
      <alignment horizontal="right" vertical="center"/>
    </xf>
    <xf numFmtId="167" fontId="33" fillId="5" borderId="21" applyAlignment="1" pivotButton="0" quotePrefix="0" xfId="0">
      <alignment horizontal="center" vertical="center"/>
    </xf>
    <xf numFmtId="0" fontId="36" fillId="0" borderId="0" applyAlignment="1" pivotButton="0" quotePrefix="0" xfId="0">
      <alignment horizontal="general" vertical="center" wrapText="1"/>
    </xf>
    <xf numFmtId="4" fontId="37" fillId="6" borderId="1" applyAlignment="1" pivotButton="0" quotePrefix="0" xfId="0">
      <alignment horizontal="right" vertical="center"/>
    </xf>
    <xf numFmtId="164" fontId="30" fillId="0" borderId="1" applyAlignment="1" pivotButton="0" quotePrefix="0" xfId="17">
      <alignment horizontal="general" vertical="center"/>
    </xf>
    <xf numFmtId="169" fontId="30" fillId="0" borderId="1" applyAlignment="1" pivotButton="0" quotePrefix="0" xfId="17">
      <alignment horizontal="general" vertical="center"/>
    </xf>
    <xf numFmtId="164" fontId="5" fillId="0" borderId="1" applyAlignment="1" pivotButton="0" quotePrefix="0" xfId="17">
      <alignment horizontal="general" vertical="center"/>
    </xf>
    <xf numFmtId="164" fontId="30" fillId="0" borderId="1" applyAlignment="1" pivotButton="0" quotePrefix="0" xfId="17">
      <alignment horizontal="right" vertical="center"/>
    </xf>
    <xf numFmtId="0" fontId="38" fillId="0" borderId="0" applyAlignment="1" pivotButton="0" quotePrefix="0" xfId="0">
      <alignment horizontal="general" vertical="center"/>
    </xf>
    <xf numFmtId="4" fontId="37" fillId="0" borderId="0" applyAlignment="1" pivotButton="0" quotePrefix="0" xfId="0">
      <alignment horizontal="right" vertical="center"/>
    </xf>
    <xf numFmtId="167" fontId="6" fillId="0" borderId="0" applyAlignment="1" pivotButton="0" quotePrefix="0" xfId="0">
      <alignment horizontal="general" vertical="center"/>
    </xf>
    <xf numFmtId="0" fontId="38" fillId="0" borderId="18" applyAlignment="1" pivotButton="0" quotePrefix="0" xfId="0">
      <alignment horizontal="right" vertical="center"/>
    </xf>
    <xf numFmtId="165" fontId="38" fillId="0" borderId="18" applyAlignment="1" pivotButton="0" quotePrefix="0" xfId="0">
      <alignment horizontal="left" vertical="center"/>
    </xf>
    <xf numFmtId="0" fontId="39" fillId="0" borderId="0" applyAlignment="1" pivotButton="0" quotePrefix="0" xfId="0">
      <alignment horizontal="general" vertical="center"/>
    </xf>
    <xf numFmtId="0" fontId="40" fillId="0" borderId="7" applyAlignment="1" pivotButton="0" quotePrefix="0" xfId="0">
      <alignment horizontal="general" vertical="center"/>
    </xf>
    <xf numFmtId="4" fontId="5" fillId="0" borderId="8" applyAlignment="1" pivotButton="0" quotePrefix="0" xfId="0">
      <alignment horizontal="general" vertical="center"/>
    </xf>
    <xf numFmtId="0" fontId="40" fillId="0" borderId="0" applyAlignment="1" pivotButton="0" quotePrefix="0" xfId="0">
      <alignment horizontal="general" vertical="center"/>
    </xf>
    <xf numFmtId="4" fontId="5" fillId="0" borderId="11" applyAlignment="1" pivotButton="0" quotePrefix="0" xfId="0">
      <alignment horizontal="general" vertical="center"/>
    </xf>
    <xf numFmtId="0" fontId="5" fillId="0" borderId="2" applyAlignment="1" pivotButton="0" quotePrefix="0" xfId="0">
      <alignment horizontal="general" vertical="center"/>
    </xf>
    <xf numFmtId="0" fontId="43" fillId="0" borderId="0" pivotButton="0" quotePrefix="0" xfId="0"/>
    <xf numFmtId="171" fontId="0" fillId="0" borderId="0" pivotButton="0" quotePrefix="0" xfId="0"/>
    <xf numFmtId="0" fontId="44" fillId="0" borderId="0" pivotButton="0" quotePrefix="0" xfId="0"/>
    <xf numFmtId="171" fontId="45" fillId="0" borderId="0" pivotButton="0" quotePrefix="0" xfId="0"/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 2" xfId="6"/>
    <cellStyle name="Normal 2 2" xfId="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596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68"/>
  <sheetViews>
    <sheetView showFormulas="0" showGridLines="1" showRowColHeaders="1" showZeros="1" rightToLeft="0" tabSelected="1" showOutlineSymbols="1" defaultGridColor="1" view="normal" topLeftCell="A37" colorId="64" zoomScale="100" zoomScaleNormal="100" zoomScalePageLayoutView="100" workbookViewId="0">
      <selection pane="topLeft" activeCell="D6" activeCellId="0" sqref="D6"/>
    </sheetView>
  </sheetViews>
  <sheetFormatPr baseColWidth="8" defaultColWidth="11.53515625" defaultRowHeight="15" customHeight="0" zeroHeight="0" outlineLevelRow="0"/>
  <cols>
    <col width="33.41" customWidth="1" style="151" min="1" max="1"/>
    <col width="36" customWidth="1" style="151" min="2" max="2"/>
    <col width="25.46" customWidth="1" style="151" min="3" max="4"/>
    <col width="27.24" customWidth="1" style="151" min="5" max="5"/>
    <col width="19.3" customWidth="1" style="151" min="6" max="6"/>
    <col width="19.93" customWidth="1" style="152" min="7" max="7"/>
    <col width="18.49" customWidth="1" style="152" min="8" max="8"/>
    <col width="19.14" customWidth="1" style="152" min="9" max="9"/>
    <col width="12.97" customWidth="1" style="152" min="10" max="13"/>
  </cols>
  <sheetData>
    <row r="1" ht="17.35" customHeight="1" s="153">
      <c r="A1" s="154" t="inlineStr">
        <is>
          <t>Entreprise</t>
        </is>
      </c>
      <c r="B1" s="154" t="inlineStr">
        <is>
          <t>lot</t>
        </is>
      </c>
      <c r="C1" s="154" t="inlineStr">
        <is>
          <t>sit n°</t>
        </is>
      </c>
      <c r="D1" s="154" t="inlineStr">
        <is>
          <t>fiche navette n°</t>
        </is>
      </c>
      <c r="E1" s="155" t="inlineStr">
        <is>
          <t>date de validation</t>
        </is>
      </c>
      <c r="G1" s="154" t="inlineStr">
        <is>
          <t>ss-trait 1</t>
        </is>
      </c>
      <c r="H1" s="154" t="inlineStr">
        <is>
          <t>ss-trait 2</t>
        </is>
      </c>
    </row>
    <row r="2" ht="42" customHeight="1" s="153">
      <c r="A2" s="156" t="inlineStr">
        <is>
          <t>Platr’O’Matic SARL</t>
        </is>
      </c>
      <c r="B2" s="156" t="inlineStr">
        <is>
          <t>lot1 : Isolation thermique</t>
        </is>
      </c>
      <c r="C2" s="157" t="n">
        <v>1</v>
      </c>
      <c r="D2" s="158" t="n">
        <v>1</v>
      </c>
      <c r="E2" s="159" t="n">
        <v>46134</v>
      </c>
      <c r="F2" s="160" t="inlineStr">
        <is>
          <t>nom</t>
        </is>
      </c>
      <c r="G2" s="161" t="n"/>
      <c r="H2" s="161" t="n"/>
      <c r="I2" s="162" t="n"/>
      <c r="J2" s="162" t="n"/>
      <c r="K2" s="162" t="n"/>
      <c r="L2" s="162" t="n"/>
      <c r="M2" s="162" t="n"/>
    </row>
    <row r="3" ht="40.25" customHeight="1" s="153">
      <c r="A3" s="163" t="inlineStr">
        <is>
          <t>42 rue du Crepissage - 75011 PARIS</t>
        </is>
      </c>
      <c r="B3" s="164" t="n"/>
      <c r="C3" s="164" t="n"/>
      <c r="D3" s="165" t="n"/>
      <c r="E3" s="165" t="n"/>
      <c r="F3" s="160" t="inlineStr">
        <is>
          <t>montant cumulé</t>
        </is>
      </c>
      <c r="G3" s="166" t="n"/>
      <c r="H3" s="166" t="n"/>
      <c r="I3" s="162" t="n"/>
      <c r="J3" s="162" t="n"/>
      <c r="K3" s="162" t="n"/>
      <c r="L3" s="162" t="n"/>
      <c r="M3" s="162" t="n"/>
    </row>
    <row r="4" ht="15" customHeight="1" s="153">
      <c r="A4" s="164" t="n"/>
      <c r="B4" s="164" t="n"/>
      <c r="C4" s="164" t="n"/>
      <c r="D4" s="165" t="n"/>
      <c r="E4" s="165" t="n"/>
      <c r="F4" s="160" t="inlineStr">
        <is>
          <t>marché</t>
        </is>
      </c>
      <c r="G4" s="166" t="n"/>
      <c r="H4" s="166" t="n"/>
      <c r="I4" s="162" t="n"/>
      <c r="J4" s="162" t="n"/>
      <c r="K4" s="162" t="n"/>
      <c r="L4" s="162" t="n"/>
      <c r="M4" s="162" t="n"/>
    </row>
    <row r="5" ht="15" customHeight="1" s="153">
      <c r="A5" s="165" t="n"/>
      <c r="B5" s="165" t="n"/>
      <c r="C5" s="165" t="n"/>
      <c r="D5" s="167" t="n"/>
      <c r="E5" s="165" t="n"/>
      <c r="F5" s="165" t="n"/>
      <c r="G5" s="162" t="n"/>
      <c r="H5" s="162" t="n"/>
      <c r="I5" s="162" t="n"/>
      <c r="J5" s="162" t="n"/>
      <c r="K5" s="162" t="n"/>
      <c r="L5" s="162" t="n"/>
      <c r="M5" s="162" t="n"/>
    </row>
    <row r="6" ht="90" customHeight="1" s="153">
      <c r="A6" s="168" t="inlineStr">
        <is>
          <t>RenovBat Bureau d’Etude Bâtiment et VRD</t>
        </is>
      </c>
      <c r="C6" s="165" t="n"/>
      <c r="D6" s="169" t="n"/>
      <c r="E6" s="165" t="n"/>
      <c r="F6" s="165" t="n"/>
      <c r="G6" s="170" t="n"/>
      <c r="H6" s="162" t="n"/>
      <c r="I6" s="162" t="n"/>
      <c r="J6" s="162" t="n"/>
      <c r="K6" s="162" t="n"/>
      <c r="L6" s="162" t="n"/>
      <c r="M6" s="162" t="n"/>
    </row>
    <row r="7" ht="51.75" customHeight="1" s="153">
      <c r="A7" s="171" t="inlineStr">
        <is>
          <t>Opération :</t>
        </is>
      </c>
      <c r="B7" s="172" t="inlineStr">
        <is>
          <t>Renovation_2026
100 avenue Michelet 69001 LYON</t>
        </is>
      </c>
      <c r="E7" s="173" t="inlineStr">
        <is>
          <t>MOA : IMMOSOCIAL_69</t>
        </is>
      </c>
      <c r="F7" s="165" t="n"/>
      <c r="G7" s="174" t="n"/>
      <c r="H7" s="162" t="n"/>
      <c r="I7" s="162" t="n"/>
      <c r="J7" s="162" t="n"/>
      <c r="K7" s="162" t="n"/>
      <c r="L7" s="162" t="n"/>
      <c r="M7" s="162" t="n"/>
    </row>
    <row r="8" ht="17.35" customHeight="1" s="153">
      <c r="A8" s="165" t="n"/>
      <c r="B8" s="175" t="n"/>
      <c r="C8" s="175" t="n"/>
      <c r="D8" s="176" t="n"/>
      <c r="E8" s="165" t="n"/>
      <c r="F8" s="165" t="n"/>
      <c r="G8" s="162" t="n"/>
      <c r="H8" s="177" t="n"/>
      <c r="I8" s="177" t="n"/>
      <c r="J8" s="177" t="n"/>
      <c r="K8" s="177" t="n"/>
      <c r="L8" s="162" t="n"/>
      <c r="M8" s="162" t="n"/>
    </row>
    <row r="9" ht="17.35" customHeight="1" s="153">
      <c r="A9" s="178" t="inlineStr">
        <is>
          <t xml:space="preserve">Référence RenovBat : </t>
        </is>
      </c>
      <c r="B9" s="179" t="inlineStr">
        <is>
          <t>26-005</t>
        </is>
      </c>
      <c r="C9" s="165" t="n"/>
      <c r="D9" s="169" t="n"/>
      <c r="E9" s="165" t="n"/>
      <c r="F9" s="165" t="n"/>
      <c r="G9" s="162" t="n"/>
      <c r="H9" s="180" t="n"/>
      <c r="I9" s="181" t="n"/>
      <c r="J9" s="181" t="n"/>
      <c r="K9" s="181" t="n"/>
      <c r="L9" s="162" t="n"/>
      <c r="M9" s="162" t="n"/>
    </row>
    <row r="10" ht="17.35" customHeight="1" s="153">
      <c r="A10" s="182" t="n"/>
      <c r="B10" s="182" t="n"/>
      <c r="C10" s="165" t="n"/>
      <c r="D10" s="169" t="n"/>
      <c r="E10" s="165" t="n"/>
      <c r="F10" s="165" t="n"/>
      <c r="G10" s="162" t="n"/>
      <c r="H10" s="180" t="n"/>
      <c r="I10" s="181" t="n"/>
      <c r="J10" s="181" t="n"/>
      <c r="K10" s="181" t="n"/>
      <c r="L10" s="162" t="n"/>
      <c r="M10" s="162" t="n"/>
    </row>
    <row r="11" ht="30.75" customHeight="1" s="153">
      <c r="A11" s="182" t="n"/>
      <c r="B11" s="182" t="n"/>
      <c r="C11" s="165" t="n"/>
      <c r="D11" s="169" t="n"/>
      <c r="E11" s="165" t="n"/>
      <c r="F11" s="165" t="n"/>
      <c r="G11" s="162" t="n"/>
      <c r="H11" s="183" t="n"/>
      <c r="I11" s="181" t="n"/>
      <c r="J11" s="184" t="n"/>
      <c r="K11" s="181" t="n"/>
      <c r="L11" s="162" t="n"/>
      <c r="M11" s="162" t="n"/>
    </row>
    <row r="12" ht="15" customHeight="1" s="153">
      <c r="A12" s="178" t="n"/>
      <c r="B12" s="178" t="n"/>
      <c r="C12" s="165" t="n"/>
      <c r="D12" s="169" t="n"/>
      <c r="E12" s="165" t="n"/>
      <c r="F12" s="165" t="n"/>
      <c r="G12" s="162" t="n"/>
      <c r="H12" s="162" t="n"/>
      <c r="I12" s="162" t="n"/>
      <c r="J12" s="162" t="n"/>
      <c r="K12" s="162" t="n"/>
      <c r="L12" s="162" t="n"/>
      <c r="M12" s="162" t="n"/>
    </row>
    <row r="13" ht="31.5" customHeight="1" s="153">
      <c r="A13" s="185" t="n"/>
      <c r="B13" s="186" t="inlineStr">
        <is>
          <t>FICHE NAVETTE n°</t>
        </is>
      </c>
      <c r="C13" s="187">
        <f>D2</f>
        <v/>
      </c>
      <c r="D13" s="165" t="n"/>
      <c r="E13" s="185" t="n"/>
      <c r="F13" s="188" t="n"/>
      <c r="G13" s="162" t="n"/>
      <c r="H13" s="162" t="n"/>
      <c r="I13" s="162" t="n"/>
      <c r="J13" s="162" t="n"/>
      <c r="K13" s="162" t="n"/>
      <c r="L13" s="162" t="n"/>
      <c r="M13" s="162" t="n"/>
    </row>
    <row r="14" ht="37.5" customHeight="1" s="153">
      <c r="A14" s="185" t="n"/>
      <c r="B14" s="185" t="n"/>
      <c r="C14" s="189" t="n"/>
      <c r="D14" s="190" t="n"/>
      <c r="E14" s="185" t="n"/>
      <c r="F14" s="165" t="n"/>
      <c r="G14" s="162" t="n"/>
      <c r="H14" s="162" t="n"/>
      <c r="I14" s="162" t="n"/>
      <c r="J14" s="162" t="n"/>
      <c r="K14" s="162" t="n"/>
      <c r="L14" s="162" t="n"/>
      <c r="M14" s="162" t="n"/>
    </row>
    <row r="15" ht="31.5" customHeight="1" s="153">
      <c r="A15" s="191" t="inlineStr">
        <is>
          <t>ENTREPRISE</t>
        </is>
      </c>
      <c r="B15" s="192" t="n"/>
      <c r="C15" s="191" t="inlineStr">
        <is>
          <t>LOT</t>
        </is>
      </c>
      <c r="D15" s="192" t="n"/>
      <c r="E15" s="193" t="inlineStr">
        <is>
          <t>SITUATION</t>
        </is>
      </c>
      <c r="F15" s="165" t="n"/>
      <c r="G15" s="162" t="n"/>
      <c r="H15" s="162" t="n"/>
      <c r="I15" s="162" t="n"/>
      <c r="J15" s="162" t="n"/>
      <c r="K15" s="162" t="n"/>
      <c r="L15" s="162" t="n"/>
      <c r="M15" s="162" t="n"/>
    </row>
    <row r="16" ht="44.25" customHeight="1" s="153">
      <c r="A16" s="194">
        <f>A2</f>
        <v/>
      </c>
      <c r="B16" s="195" t="n"/>
      <c r="C16" s="196">
        <f>B2</f>
        <v/>
      </c>
      <c r="D16" s="192" t="n"/>
      <c r="E16" s="197">
        <f>C2</f>
        <v/>
      </c>
      <c r="F16" s="165" t="n"/>
      <c r="G16" s="162" t="n"/>
      <c r="H16" s="162" t="n"/>
      <c r="I16" s="162" t="n"/>
      <c r="J16" s="162" t="n"/>
      <c r="K16" s="162" t="n"/>
      <c r="L16" s="162" t="n"/>
      <c r="M16" s="162" t="n"/>
    </row>
    <row r="17" ht="9.75" customHeight="1" s="153">
      <c r="A17" s="198" t="n"/>
      <c r="B17" s="198" t="n"/>
      <c r="C17" s="199" t="n"/>
      <c r="D17" s="199" t="n"/>
      <c r="E17" s="200" t="n"/>
      <c r="F17" s="165" t="n"/>
      <c r="G17" s="162" t="n"/>
      <c r="H17" s="162" t="n"/>
      <c r="I17" s="162" t="n"/>
      <c r="J17" s="162" t="n"/>
      <c r="K17" s="162" t="n"/>
      <c r="L17" s="162" t="n"/>
      <c r="M17" s="162" t="n"/>
    </row>
    <row r="18" ht="19.5" customHeight="1" s="153">
      <c r="A18" s="201" t="inlineStr">
        <is>
          <t>OPERATION</t>
        </is>
      </c>
      <c r="B18" s="198" t="n"/>
      <c r="C18" s="202" t="inlineStr">
        <is>
          <t>DATE</t>
        </is>
      </c>
      <c r="D18" s="186" t="inlineStr">
        <is>
          <t>VISA</t>
        </is>
      </c>
      <c r="E18" s="192" t="n"/>
      <c r="F18" s="165" t="n"/>
      <c r="G18" s="162" t="n"/>
      <c r="H18" s="162" t="n"/>
      <c r="I18" s="162" t="n"/>
      <c r="J18" s="162" t="n"/>
      <c r="K18" s="162" t="n"/>
      <c r="L18" s="162" t="n"/>
      <c r="M18" s="162" t="n"/>
    </row>
    <row r="19" ht="97.5" customHeight="1" s="153">
      <c r="A19" s="203" t="inlineStr">
        <is>
          <t>Etablissement de la situation par l'entreprise</t>
        </is>
      </c>
      <c r="B19" s="204" t="n"/>
      <c r="C19" s="205" t="n">
        <v>46096</v>
      </c>
      <c r="D19" s="206" t="n"/>
      <c r="E19" s="192" t="n"/>
      <c r="F19" s="207" t="n"/>
      <c r="G19" s="208" t="n"/>
      <c r="H19" s="208" t="n"/>
      <c r="I19" s="208" t="n"/>
      <c r="J19" s="208" t="n"/>
      <c r="K19" s="208" t="n"/>
      <c r="L19" s="208" t="n"/>
      <c r="M19" s="208" t="n"/>
    </row>
    <row r="20" ht="97.5" customHeight="1" s="153">
      <c r="A20" s="203" t="inlineStr">
        <is>
          <t>Dépôt sur Chorus</t>
        </is>
      </c>
      <c r="B20" s="204" t="n"/>
      <c r="C20" s="209" t="n">
        <v>46136</v>
      </c>
      <c r="D20" s="210" t="inlineStr">
        <is>
          <t xml:space="preserve">Tampon et signature RenovBat </t>
        </is>
      </c>
      <c r="E20" s="192" t="n"/>
      <c r="F20" s="211" t="n"/>
      <c r="G20" s="212" t="n"/>
      <c r="H20" s="212" t="n"/>
      <c r="I20" s="212" t="n"/>
      <c r="J20" s="212" t="n"/>
      <c r="K20" s="212" t="n"/>
      <c r="L20" s="212" t="n"/>
      <c r="M20" s="212" t="n"/>
    </row>
    <row r="21" ht="97.5" customHeight="1" s="153">
      <c r="A21" s="203" t="inlineStr">
        <is>
          <t>Demande de rectification de la facture</t>
        </is>
      </c>
      <c r="B21" s="204" t="n"/>
      <c r="C21" s="209" t="n"/>
      <c r="D21" s="206" t="n"/>
      <c r="E21" s="192" t="n"/>
      <c r="F21" s="165" t="n"/>
      <c r="G21" s="162" t="n"/>
      <c r="H21" s="162" t="n"/>
      <c r="I21" s="162" t="n"/>
      <c r="J21" s="162" t="n"/>
      <c r="K21" s="162" t="n"/>
      <c r="L21" s="162" t="n"/>
      <c r="M21" s="162" t="n"/>
    </row>
    <row r="22" ht="97.5" customHeight="1" s="153">
      <c r="A22" s="203" t="inlineStr">
        <is>
          <t xml:space="preserve">Réception par SATM de la facture modifiée </t>
        </is>
      </c>
      <c r="B22" s="204" t="n"/>
      <c r="C22" s="209" t="n"/>
      <c r="D22" s="206" t="n"/>
      <c r="E22" s="192" t="n"/>
      <c r="F22" s="165" t="n"/>
      <c r="G22" s="162" t="n"/>
      <c r="H22" s="162" t="n"/>
      <c r="I22" s="162" t="n"/>
      <c r="J22" s="162" t="n"/>
      <c r="K22" s="162" t="n"/>
      <c r="L22" s="162" t="n"/>
      <c r="M22" s="162" t="n"/>
    </row>
    <row r="23" ht="97.5" customHeight="1" s="153">
      <c r="A23" s="203" t="inlineStr">
        <is>
          <t>Dépôt sur Chorus par la MOE</t>
        </is>
      </c>
      <c r="B23" s="204" t="n"/>
      <c r="C23" s="213" t="n">
        <v>46136</v>
      </c>
      <c r="D23" s="214" t="inlineStr">
        <is>
          <t xml:space="preserve">Tampon et signature RenovBat </t>
        </is>
      </c>
      <c r="E23" s="192" t="n"/>
      <c r="F23" s="165" t="n"/>
      <c r="G23" s="162" t="n"/>
      <c r="H23" s="162" t="n"/>
      <c r="I23" s="162" t="n"/>
      <c r="J23" s="162" t="n"/>
      <c r="K23" s="162" t="n"/>
      <c r="L23" s="162" t="n"/>
      <c r="M23" s="162" t="n"/>
    </row>
    <row r="24" ht="97.5" customHeight="1" s="153">
      <c r="A24" s="203" t="inlineStr">
        <is>
          <t>Réception par le Maître d'ouvrage</t>
        </is>
      </c>
      <c r="B24" s="204" t="n"/>
      <c r="C24" s="215" t="n"/>
      <c r="D24" s="206" t="n"/>
      <c r="E24" s="192" t="n"/>
      <c r="F24" s="165" t="n"/>
      <c r="G24" s="162" t="n"/>
      <c r="H24" s="162" t="n"/>
      <c r="I24" s="162" t="n"/>
      <c r="J24" s="162" t="n"/>
      <c r="K24" s="162" t="n"/>
      <c r="L24" s="162" t="n"/>
      <c r="M24" s="162" t="n"/>
    </row>
    <row r="26" ht="82.5" customHeight="1" s="153">
      <c r="A26" s="216" t="inlineStr">
        <is>
          <t>RenovBat Bureau d’Etude Bâtiment et VRD</t>
        </is>
      </c>
      <c r="C26" s="217" t="n"/>
      <c r="D26" s="218" t="n"/>
      <c r="E26" s="219" t="n"/>
      <c r="F26" s="220" t="n"/>
      <c r="I26" s="221" t="n"/>
      <c r="J26" s="221" t="n"/>
      <c r="K26" s="221" t="n"/>
      <c r="L26" s="221" t="n"/>
      <c r="M26" s="221" t="n"/>
    </row>
    <row r="27" ht="29.25" customHeight="1" s="153">
      <c r="A27" s="219" t="n"/>
      <c r="B27" s="219" t="n"/>
      <c r="C27" s="217" t="n"/>
      <c r="D27" s="218" t="n"/>
      <c r="E27" s="219" t="n"/>
      <c r="F27" s="220" t="n"/>
      <c r="I27" s="221" t="n"/>
      <c r="J27" s="221" t="n"/>
      <c r="K27" s="221" t="n"/>
      <c r="L27" s="221" t="n"/>
      <c r="M27" s="221" t="n"/>
    </row>
    <row r="28" ht="36" customHeight="1" s="153">
      <c r="A28" s="222" t="inlineStr">
        <is>
          <t>Opération :</t>
        </is>
      </c>
      <c r="B28" s="172" t="inlineStr">
        <is>
          <t>Renovation_2026
100 avenue Michelet 69001 LYON</t>
        </is>
      </c>
      <c r="E28" s="223" t="n"/>
      <c r="F28" s="220" t="n"/>
      <c r="I28" s="221" t="n"/>
      <c r="J28" s="221" t="n"/>
      <c r="K28" s="221" t="n"/>
      <c r="L28" s="221" t="n"/>
      <c r="M28" s="221" t="n"/>
    </row>
    <row r="29" ht="19.5" customHeight="1" s="153">
      <c r="A29" s="219" t="inlineStr">
        <is>
          <t>Maître d'ouvrage :</t>
        </is>
      </c>
      <c r="B29" s="224" t="inlineStr">
        <is>
          <t>IMMOSOCIAL_69 – 8 avenue des Batisseurs, 69000 Lyon</t>
        </is>
      </c>
      <c r="C29" s="225" t="n"/>
      <c r="D29" s="226" t="n"/>
      <c r="E29" s="219" t="n"/>
      <c r="F29" s="220" t="n"/>
      <c r="I29" s="221" t="n"/>
      <c r="J29" s="221" t="n"/>
      <c r="K29" s="221" t="n"/>
      <c r="L29" s="221" t="n"/>
      <c r="M29" s="221" t="n"/>
    </row>
    <row r="30" ht="19.5" customHeight="1" s="153">
      <c r="A30" s="219" t="inlineStr">
        <is>
          <t xml:space="preserve">Référence BE : </t>
        </is>
      </c>
      <c r="B30" s="227" t="inlineStr">
        <is>
          <t>26-005</t>
        </is>
      </c>
      <c r="C30" s="225" t="n"/>
      <c r="D30" s="226" t="n"/>
      <c r="E30" s="219" t="n"/>
      <c r="F30" s="220" t="n"/>
      <c r="I30" s="221" t="n"/>
      <c r="J30" s="221" t="n"/>
      <c r="K30" s="221" t="n"/>
      <c r="L30" s="221" t="n"/>
      <c r="M30" s="221" t="n"/>
    </row>
    <row r="31" ht="19.5" customHeight="1" s="153">
      <c r="A31" s="219" t="n"/>
      <c r="B31" s="226" t="n"/>
      <c r="C31" s="225" t="n"/>
      <c r="D31" s="226" t="n"/>
      <c r="E31" s="219" t="n"/>
      <c r="F31" s="220" t="n"/>
      <c r="I31" s="221" t="n"/>
      <c r="J31" s="221" t="n"/>
      <c r="K31" s="221" t="n"/>
      <c r="L31" s="221" t="n"/>
      <c r="M31" s="221" t="n"/>
    </row>
    <row r="32" ht="19.5" customHeight="1" s="153">
      <c r="A32" s="219" t="inlineStr">
        <is>
          <t>Entreprise :</t>
        </is>
      </c>
      <c r="B32" s="228" t="inlineStr">
        <is>
          <t>Platr’O’Matic SARL  42  rue du Crepissage 75011 PARIS</t>
        </is>
      </c>
      <c r="F32" s="220" t="n"/>
      <c r="I32" s="221" t="n"/>
      <c r="J32" s="221" t="n"/>
      <c r="K32" s="221" t="n"/>
      <c r="L32" s="221" t="n"/>
      <c r="M32" s="221" t="n"/>
    </row>
    <row r="33" ht="19.5" customHeight="1" s="153">
      <c r="A33" s="219" t="inlineStr">
        <is>
          <t>Lot n° :</t>
        </is>
      </c>
      <c r="B33" s="229" t="inlineStr">
        <is>
          <t>Lot 1 – Isolation thermique</t>
        </is>
      </c>
      <c r="C33" s="225" t="n"/>
      <c r="D33" s="226" t="n"/>
      <c r="E33" s="219" t="n"/>
      <c r="F33" s="220" t="n"/>
      <c r="I33" s="221" t="n"/>
      <c r="J33" s="221" t="n"/>
      <c r="K33" s="221" t="n"/>
      <c r="L33" s="221" t="n"/>
      <c r="M33" s="221" t="n"/>
    </row>
    <row r="34" ht="19.5" customHeight="1" s="153">
      <c r="A34" s="219" t="n"/>
      <c r="B34" s="226" t="n"/>
      <c r="C34" s="225" t="n"/>
      <c r="D34" s="226" t="n"/>
      <c r="E34" s="219" t="n"/>
      <c r="F34" s="220" t="n"/>
      <c r="I34" s="221" t="n"/>
      <c r="J34" s="221" t="n"/>
      <c r="K34" s="221" t="n"/>
      <c r="L34" s="221" t="n"/>
      <c r="M34" s="221" t="n"/>
    </row>
    <row r="35" ht="19.5" customHeight="1" s="153">
      <c r="A35" s="219" t="inlineStr">
        <is>
          <t>Facture n° :</t>
        </is>
      </c>
      <c r="B35" s="230" t="inlineStr">
        <is>
          <t>FAC-2026-001</t>
        </is>
      </c>
      <c r="C35" s="225" t="n"/>
      <c r="D35" s="226" t="n"/>
      <c r="E35" s="219" t="n"/>
      <c r="F35" s="220" t="n"/>
      <c r="I35" s="221" t="n"/>
      <c r="J35" s="221" t="n"/>
      <c r="K35" s="221" t="n"/>
      <c r="L35" s="221" t="n"/>
      <c r="M35" s="221" t="n"/>
    </row>
    <row r="36" ht="19.5" customHeight="1" s="153">
      <c r="A36" s="219" t="inlineStr">
        <is>
          <t xml:space="preserve">Date facture : </t>
        </is>
      </c>
      <c r="B36" s="231" t="n">
        <v>46096</v>
      </c>
      <c r="C36" s="232" t="n"/>
      <c r="D36" s="233" t="n"/>
      <c r="F36" s="234" t="n"/>
      <c r="G36" s="235" t="n"/>
    </row>
    <row r="37" ht="19.5" customHeight="1" s="153">
      <c r="B37" s="219" t="n"/>
      <c r="C37" s="219" t="n"/>
      <c r="E37" s="234" t="n"/>
      <c r="F37" s="234" t="n"/>
      <c r="G37" s="235" t="n"/>
    </row>
    <row r="38" ht="22.5" customHeight="1" s="153">
      <c r="A38" s="236" t="inlineStr">
        <is>
          <t>Montant du marché de base HT</t>
        </is>
      </c>
      <c r="B38" s="237" t="n"/>
      <c r="C38" s="238" t="n">
        <v>20000</v>
      </c>
      <c r="G38" s="151" t="n"/>
      <c r="H38" s="151" t="n"/>
      <c r="I38" s="151" t="n"/>
      <c r="J38" s="151" t="n"/>
      <c r="K38" s="151" t="n"/>
      <c r="L38" s="151" t="n"/>
      <c r="M38" s="151" t="n"/>
    </row>
    <row r="39" ht="22.5" customHeight="1" s="153">
      <c r="A39" s="239" t="inlineStr">
        <is>
          <t>Avenant n°1</t>
        </is>
      </c>
      <c r="B39" s="240" t="n"/>
      <c r="C39" s="241" t="n"/>
      <c r="G39" s="151" t="n"/>
      <c r="H39" s="151" t="n"/>
      <c r="I39" s="151" t="n"/>
      <c r="J39" s="151" t="n"/>
      <c r="K39" s="151" t="n"/>
      <c r="L39" s="151" t="n"/>
      <c r="M39" s="151" t="n"/>
    </row>
    <row r="40" ht="22.5" customHeight="1" s="153">
      <c r="A40" s="239" t="inlineStr">
        <is>
          <t>Avenant n°2</t>
        </is>
      </c>
      <c r="B40" s="240" t="n"/>
      <c r="C40" s="241" t="n">
        <v>0</v>
      </c>
      <c r="G40" s="151" t="n"/>
      <c r="H40" s="151" t="n"/>
      <c r="I40" s="151" t="n"/>
      <c r="J40" s="151" t="n"/>
      <c r="K40" s="151" t="n"/>
      <c r="L40" s="151" t="n"/>
      <c r="M40" s="151" t="n"/>
    </row>
    <row r="41" ht="22.5" customHeight="1" s="153">
      <c r="A41" s="239" t="inlineStr">
        <is>
          <t>Total marché avec avenant</t>
        </is>
      </c>
      <c r="B41" s="240" t="n"/>
      <c r="C41" s="241">
        <f>SUM(C38:C40)</f>
        <v/>
      </c>
      <c r="H41" s="151" t="n"/>
      <c r="I41" s="151" t="n"/>
      <c r="J41" s="151" t="n"/>
      <c r="K41" s="151" t="n"/>
      <c r="L41" s="151" t="n"/>
      <c r="M41" s="151" t="n"/>
    </row>
    <row r="42" ht="22.5" customHeight="1" s="153">
      <c r="A42" s="239" t="inlineStr">
        <is>
          <t>TVA</t>
        </is>
      </c>
      <c r="B42" s="242" t="n">
        <v>0.2</v>
      </c>
      <c r="C42" s="241">
        <f>B42*C41</f>
        <v/>
      </c>
      <c r="F42" s="152" t="n"/>
      <c r="H42" s="151" t="n"/>
      <c r="I42" s="151" t="n"/>
      <c r="J42" s="151" t="n"/>
      <c r="K42" s="151" t="n"/>
      <c r="L42" s="151" t="n"/>
      <c r="M42" s="151" t="n"/>
    </row>
    <row r="43" ht="22.5" customHeight="1" s="153">
      <c r="A43" s="243" t="inlineStr">
        <is>
          <t>TOTAL MARCHE € TTC</t>
        </is>
      </c>
      <c r="B43" s="244" t="inlineStr">
        <is>
          <t> </t>
        </is>
      </c>
      <c r="C43" s="245">
        <f>SUM(C41:C42)</f>
        <v/>
      </c>
      <c r="D43" s="246" t="n"/>
      <c r="F43" s="151" t="inlineStr">
        <is>
          <t>caution nécessaire</t>
        </is>
      </c>
      <c r="H43" s="151" t="n"/>
      <c r="I43" s="151" t="n"/>
      <c r="J43" s="151" t="n"/>
      <c r="K43" s="151" t="n"/>
      <c r="L43" s="151" t="n"/>
      <c r="M43" s="151" t="n"/>
    </row>
    <row r="44" ht="22.5" customHeight="1" s="153">
      <c r="A44" s="247" t="inlineStr">
        <is>
          <t>Caution bancaire € HT</t>
        </is>
      </c>
      <c r="B44" s="248" t="n"/>
      <c r="C44" s="249" t="n">
        <v>2000</v>
      </c>
      <c r="E44" s="250" t="n"/>
      <c r="F44" s="250">
        <f>0.05*C43</f>
        <v/>
      </c>
      <c r="G44" s="151" t="n"/>
      <c r="H44" s="151" t="n"/>
      <c r="I44" s="151" t="n"/>
      <c r="J44" s="151" t="n"/>
      <c r="K44" s="151" t="n"/>
      <c r="L44" s="151" t="n"/>
      <c r="M44" s="151" t="n"/>
    </row>
    <row r="45" ht="19.5" customHeight="1" s="153">
      <c r="A45" s="251" t="n"/>
      <c r="B45" s="252" t="n"/>
      <c r="C45" s="252" t="n"/>
      <c r="D45" s="252" t="n"/>
      <c r="E45" s="252" t="n"/>
    </row>
    <row r="46" ht="27" customHeight="1" s="153">
      <c r="A46" s="253">
        <f>CONCATENATE("ETAT D'ACOMPTE N°",C2)</f>
        <v/>
      </c>
      <c r="B46" s="254" t="n"/>
      <c r="C46" s="254" t="n"/>
      <c r="D46" s="254" t="n"/>
      <c r="E46" s="255" t="n"/>
      <c r="F46" s="256" t="n"/>
      <c r="G46" s="257" t="n"/>
    </row>
    <row r="47" ht="34.5" customHeight="1" s="153">
      <c r="A47" s="258" t="inlineStr">
        <is>
          <t>SITUATION ACCEPTEE</t>
        </is>
      </c>
      <c r="B47" s="259" t="n"/>
      <c r="C47" s="260" t="inlineStr">
        <is>
          <t>Nouveau cumul</t>
        </is>
      </c>
      <c r="D47" s="261" t="inlineStr">
        <is>
          <t>Ancien cumul</t>
        </is>
      </c>
      <c r="E47" s="262" t="inlineStr">
        <is>
          <t>Situation en euros</t>
        </is>
      </c>
      <c r="G47" s="152" t="inlineStr">
        <is>
          <t>avancement</t>
        </is>
      </c>
    </row>
    <row r="48" ht="22.5" customHeight="1" s="153">
      <c r="A48" s="236" t="inlineStr">
        <is>
          <t>Marché principal + avenant</t>
        </is>
      </c>
      <c r="B48" s="237" t="n"/>
      <c r="C48" s="263" t="n">
        <v>12500</v>
      </c>
      <c r="D48" s="263" t="n"/>
      <c r="E48" s="264">
        <f>C48-D48</f>
        <v/>
      </c>
      <c r="G48" s="265">
        <f>C48/C41</f>
        <v/>
      </c>
    </row>
    <row r="49" ht="22.5" customHeight="1" s="153">
      <c r="A49" s="239" t="inlineStr">
        <is>
          <t>Revalorisation de prix</t>
        </is>
      </c>
      <c r="B49" s="240" t="n"/>
      <c r="C49" s="266" t="n"/>
      <c r="D49" s="266" t="n"/>
      <c r="E49" s="267">
        <f>C49-D49</f>
        <v/>
      </c>
    </row>
    <row r="50" ht="22.5" customHeight="1" s="153">
      <c r="A50" s="243" t="inlineStr">
        <is>
          <t>Total situation HT</t>
        </is>
      </c>
      <c r="B50" s="268" t="n"/>
      <c r="C50" s="269">
        <f>SUM(C48:C49)</f>
        <v/>
      </c>
      <c r="D50" s="269" t="n"/>
      <c r="E50" s="270">
        <f>SUM(E48:E49)</f>
        <v/>
      </c>
    </row>
    <row r="51" ht="22.5" customHeight="1" s="153">
      <c r="A51" s="271" t="inlineStr">
        <is>
          <t>TVA</t>
        </is>
      </c>
      <c r="B51" s="272">
        <f>B42</f>
        <v/>
      </c>
      <c r="C51" s="273">
        <f>C50*$B51</f>
        <v/>
      </c>
      <c r="D51" s="273" t="n"/>
      <c r="E51" s="274">
        <f>C51-D51</f>
        <v/>
      </c>
    </row>
    <row r="52" ht="22.5" customHeight="1" s="153">
      <c r="A52" s="275" t="inlineStr">
        <is>
          <t>Total situation TTC à régler</t>
        </is>
      </c>
      <c r="B52" s="276" t="n"/>
      <c r="C52" s="273">
        <f>C50+C51</f>
        <v/>
      </c>
      <c r="D52" s="273" t="n"/>
      <c r="E52" s="274">
        <f>C52-D52</f>
        <v/>
      </c>
    </row>
    <row r="53" ht="22.5" customHeight="1" s="153">
      <c r="A53" s="277" t="inlineStr">
        <is>
          <t>Pas de retenue de garantie</t>
        </is>
      </c>
      <c r="B53" s="278" t="n">
        <v>0</v>
      </c>
      <c r="C53" s="279" t="n">
        <v>700</v>
      </c>
      <c r="D53" s="279" t="n"/>
      <c r="E53" s="274">
        <f>C53-D53</f>
        <v/>
      </c>
    </row>
    <row r="54" ht="22.5" customHeight="1" s="153">
      <c r="A54" s="277" t="inlineStr">
        <is>
          <t>Restitution de la retenue de garantie</t>
        </is>
      </c>
      <c r="B54" s="280" t="n"/>
      <c r="C54" s="279" t="n">
        <v>700</v>
      </c>
      <c r="D54" s="279" t="n"/>
      <c r="E54" s="274">
        <f>C54-D54</f>
        <v/>
      </c>
    </row>
    <row r="55" ht="22.5" customHeight="1" s="153">
      <c r="A55" s="275" t="inlineStr">
        <is>
          <t>Total situation TTC à régler</t>
        </is>
      </c>
      <c r="B55" s="276" t="n"/>
      <c r="C55" s="281">
        <f>C52-C53+C54</f>
        <v/>
      </c>
      <c r="D55" s="281" t="n"/>
      <c r="E55" s="273">
        <f>C55-D55</f>
        <v/>
      </c>
      <c r="F55" s="282" t="n"/>
    </row>
    <row r="56" ht="22.5" customHeight="1" s="153">
      <c r="C56" s="283" t="n"/>
      <c r="E56" s="284" t="n"/>
    </row>
    <row r="57" ht="22.5" customHeight="1" s="153">
      <c r="A57" s="285" t="inlineStr">
        <is>
          <t>Certifie que IMMOSOCIAL_69 peut payer :</t>
        </is>
      </c>
      <c r="B57" s="285" t="n"/>
      <c r="C57" s="286" t="inlineStr">
        <is>
          <t>Nouveau cumul</t>
        </is>
      </c>
      <c r="D57" s="287" t="inlineStr">
        <is>
          <t>Ancien cumul</t>
        </is>
      </c>
      <c r="E57" s="288" t="inlineStr">
        <is>
          <t>Mois</t>
        </is>
      </c>
      <c r="G57" s="151" t="n"/>
      <c r="H57" s="151" t="n"/>
      <c r="J57" s="151" t="n"/>
      <c r="K57" s="151" t="n"/>
      <c r="L57" s="151" t="n"/>
      <c r="M57" s="151" t="n"/>
    </row>
    <row r="58" ht="22.5" customHeight="1" s="153">
      <c r="A58" s="289" t="n"/>
      <c r="B58" s="290">
        <f>A2</f>
        <v/>
      </c>
      <c r="C58" s="291">
        <f>C55-C59-C60</f>
        <v/>
      </c>
      <c r="D58" s="292">
        <f>D55-D59-D60</f>
        <v/>
      </c>
      <c r="E58" s="273">
        <f>C58-D58</f>
        <v/>
      </c>
      <c r="G58" s="282">
        <f>E58/1.2</f>
        <v/>
      </c>
      <c r="H58" s="282" t="n"/>
      <c r="J58" s="151" t="n"/>
      <c r="K58" s="151" t="n"/>
      <c r="L58" s="151" t="n"/>
      <c r="M58" s="151" t="n"/>
    </row>
    <row r="59" ht="22.5" customHeight="1" s="153">
      <c r="B59" s="290">
        <f>CONCATENATE("Sous-traitant ",G2)</f>
        <v/>
      </c>
      <c r="C59" s="293">
        <f>G3</f>
        <v/>
      </c>
      <c r="D59" s="294" t="n">
        <v>0</v>
      </c>
      <c r="E59" s="273">
        <f>C59-D59</f>
        <v/>
      </c>
      <c r="G59" s="282">
        <f>E58-G58</f>
        <v/>
      </c>
      <c r="H59" s="282" t="n"/>
      <c r="J59" s="151" t="n"/>
      <c r="K59" s="151" t="n"/>
      <c r="L59" s="151" t="n"/>
      <c r="M59" s="151" t="n"/>
    </row>
    <row r="60" ht="22.5" customHeight="1" s="153">
      <c r="B60" s="290">
        <f>CONCATENATE("Sous-traitant ",H2)</f>
        <v/>
      </c>
      <c r="C60" s="293">
        <f>H3</f>
        <v/>
      </c>
      <c r="D60" s="294" t="n">
        <v>0</v>
      </c>
      <c r="E60" s="273">
        <f>C60-D60</f>
        <v/>
      </c>
      <c r="G60" s="151" t="n"/>
      <c r="H60" s="151" t="n"/>
      <c r="J60" s="151" t="n"/>
      <c r="K60" s="151" t="n"/>
      <c r="L60" s="151" t="n"/>
      <c r="M60" s="151" t="n"/>
    </row>
    <row r="61" ht="22.5" customHeight="1" s="153">
      <c r="B61" s="295" t="n"/>
      <c r="C61" s="296" t="inlineStr">
        <is>
          <t> </t>
        </is>
      </c>
      <c r="D61" s="296" t="n"/>
      <c r="E61" s="297" t="n"/>
    </row>
    <row r="62" ht="19.5" customHeight="1" s="153">
      <c r="A62" s="298" t="inlineStr">
        <is>
          <t xml:space="preserve">Visé par J. PONS le </t>
        </is>
      </c>
      <c r="B62" s="299" t="n">
        <v>46134</v>
      </c>
      <c r="C62" s="283" t="inlineStr">
        <is>
          <t> </t>
        </is>
      </c>
      <c r="D62" s="283" t="n"/>
      <c r="E62" s="283" t="n"/>
      <c r="F62" s="300" t="n"/>
    </row>
    <row r="63" ht="19.5" customHeight="1" s="153">
      <c r="A63" s="301" t="inlineStr">
        <is>
          <t>Maître d'œuvre</t>
        </is>
      </c>
      <c r="B63" s="302" t="n"/>
      <c r="D63" s="303" t="n"/>
      <c r="E63" s="283" t="n"/>
    </row>
    <row r="64" ht="19.5" customHeight="1" s="153">
      <c r="A64" s="239" t="n"/>
      <c r="B64" s="304" t="n"/>
      <c r="D64" s="283" t="n"/>
      <c r="E64" s="283" t="n"/>
    </row>
    <row r="65" ht="19.5" customHeight="1" s="153">
      <c r="A65" s="239" t="n"/>
      <c r="B65" s="240" t="n"/>
    </row>
    <row r="66" ht="19.5" customHeight="1" s="153">
      <c r="A66" s="239" t="n"/>
      <c r="B66" s="240" t="n"/>
    </row>
    <row r="67" ht="19.5" customHeight="1" s="153">
      <c r="A67" s="239" t="n"/>
      <c r="B67" s="240" t="n"/>
    </row>
    <row r="68" ht="19.5" customHeight="1" s="153">
      <c r="A68" s="305" t="inlineStr">
        <is>
          <t>Bureau d'Etudes RenovBat</t>
        </is>
      </c>
      <c r="B68" s="244" t="n"/>
    </row>
  </sheetData>
  <mergeCells count="17">
    <mergeCell ref="D20:E20"/>
    <mergeCell ref="A26:B26"/>
    <mergeCell ref="B28:D28"/>
    <mergeCell ref="A15:B15"/>
    <mergeCell ref="C16:D16"/>
    <mergeCell ref="D24:E24"/>
    <mergeCell ref="C15:D15"/>
    <mergeCell ref="D19:E19"/>
    <mergeCell ref="D21:E21"/>
    <mergeCell ref="D23:E23"/>
    <mergeCell ref="A45:E45"/>
    <mergeCell ref="A46:E46"/>
    <mergeCell ref="D22:E22"/>
    <mergeCell ref="D18:E18"/>
    <mergeCell ref="B7:D7"/>
    <mergeCell ref="A6:B6"/>
    <mergeCell ref="B32:E3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Roman,Normal"&amp;12 &amp;A</oddHeader>
    <oddFooter>&amp;C&amp;"Times New Roman,Normal"&amp;12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8" customWidth="1" style="153" min="1" max="1"/>
    <col width="22" customWidth="1" style="153" min="2" max="2"/>
  </cols>
  <sheetData>
    <row r="1">
      <c r="A1" s="306" t="inlineStr">
        <is>
          <t>FICHE NAVETTE — PROJET renovation_2026</t>
        </is>
      </c>
    </row>
    <row r="3">
      <c r="A3" t="inlineStr">
        <is>
          <t>MOE</t>
        </is>
      </c>
      <c r="B3" t="inlineStr">
        <is>
          <t>RenovBat</t>
        </is>
      </c>
    </row>
    <row r="4">
      <c r="A4" t="inlineStr">
        <is>
          <t>MOA</t>
        </is>
      </c>
      <c r="B4" t="inlineStr">
        <is>
          <t>IMMOSOCIAL_69</t>
        </is>
      </c>
    </row>
    <row r="6">
      <c r="A6" t="inlineStr">
        <is>
          <t>Référence facture</t>
        </is>
      </c>
      <c r="B6" t="inlineStr">
        <is>
          <t>FAC-2026-001</t>
        </is>
      </c>
    </row>
    <row r="7">
      <c r="A7" t="inlineStr">
        <is>
          <t>Date de la facture</t>
        </is>
      </c>
      <c r="B7" t="inlineStr">
        <is>
          <t>15 mars 2026</t>
        </is>
      </c>
    </row>
    <row r="8">
      <c r="A8" t="inlineStr">
        <is>
          <t>Émetteur</t>
        </is>
      </c>
      <c r="B8" t="inlineStr">
        <is>
          <t>Platr'O'Matic SARL</t>
        </is>
      </c>
    </row>
    <row r="9">
      <c r="A9" t="inlineStr">
        <is>
          <t>Lot concerné</t>
        </is>
      </c>
      <c r="B9" t="inlineStr">
        <is>
          <t>isolation_thermique</t>
        </is>
      </c>
    </row>
    <row r="10">
      <c r="A10" t="inlineStr">
        <is>
          <t>Montant TTC</t>
        </is>
      </c>
      <c r="B10" s="307" t="n">
        <v>12500</v>
      </c>
    </row>
    <row r="12">
      <c r="A12" s="308" t="inlineStr">
        <is>
          <t>✓ FACTURE APPROUVÉE</t>
        </is>
      </c>
    </row>
    <row r="13">
      <c r="A13" t="inlineStr">
        <is>
          <t>Date d'approbation</t>
        </is>
      </c>
      <c r="B13" t="inlineStr">
        <is>
          <t>24/04/2026</t>
        </is>
      </c>
    </row>
    <row r="14">
      <c r="A14" t="inlineStr">
        <is>
          <t>Approuvé par</t>
        </is>
      </c>
      <c r="B14" t="inlineStr">
        <is>
          <t>RenovBat</t>
        </is>
      </c>
    </row>
    <row r="17">
      <c r="A17" s="306" t="inlineStr">
        <is>
          <t>BON DE PAIEMENT — PROJET renovation_2026</t>
        </is>
      </c>
    </row>
    <row r="19">
      <c r="A19" t="inlineStr">
        <is>
          <t>Montant global prévu pour le lot</t>
        </is>
      </c>
      <c r="B19" s="307" t="n">
        <v>20000</v>
      </c>
    </row>
    <row r="20">
      <c r="A20" t="inlineStr">
        <is>
          <t>Situations précédentes</t>
        </is>
      </c>
      <c r="B20" s="307" t="n">
        <v>0</v>
      </c>
    </row>
    <row r="21">
      <c r="A21" t="inlineStr">
        <is>
          <t>Présente situation</t>
        </is>
      </c>
      <c r="B21" s="307" t="n">
        <v>12500</v>
      </c>
    </row>
    <row r="23">
      <c r="A23" t="inlineStr">
        <is>
          <t>Nouveau cumul</t>
        </is>
      </c>
      <c r="B23" s="309" t="n">
        <v>12500</v>
      </c>
    </row>
    <row r="24">
      <c r="A24" t="inlineStr">
        <is>
          <t>Reste à régler</t>
        </is>
      </c>
      <c r="B24" s="307" t="n">
        <v>7500</v>
      </c>
    </row>
    <row r="26">
      <c r="A26" t="inlineStr">
        <is>
          <t>Date d'émission</t>
        </is>
      </c>
      <c r="B26" t="inlineStr">
        <is>
          <t>24/04/2026</t>
        </is>
      </c>
    </row>
    <row r="27">
      <c r="A27" t="inlineStr">
        <is>
          <t>Établi par</t>
        </is>
      </c>
      <c r="B27" t="inlineStr">
        <is>
          <t>RenovBat (MOE)</t>
        </is>
      </c>
    </row>
    <row r="28">
      <c r="A28" t="inlineStr">
        <is>
          <t>À destination de</t>
        </is>
      </c>
      <c r="B28" t="inlineStr">
        <is>
          <t>IMMOSOCIAL_69 (MOA)</t>
        </is>
      </c>
    </row>
  </sheetData>
  <mergeCells count="3">
    <mergeCell ref="A17:B17"/>
    <mergeCell ref="A1:B1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fr-FR</dc:language>
  <dcterms:created xsi:type="dcterms:W3CDTF">2026-04-24T10:46:18Z</dcterms:created>
  <dcterms:modified xsi:type="dcterms:W3CDTF">2026-04-24T10:31:09Z</dcterms:modified>
  <cp:revision>2</cp:revision>
</cp:coreProperties>
</file>